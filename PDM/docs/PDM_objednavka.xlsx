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jednávka" sheetId="1" state="visible" r:id="rId3"/>
    <sheet name="DPS výroba" sheetId="2" state="visible" r:id="rId4"/>
    <sheet name="Mechanika" sheetId="3" state="visible" r:id="rId5"/>
  </sheets>
  <definedNames>
    <definedName function="false" hidden="true" localSheetId="0" name="_xlnm._FilterDatabase" vbProcedure="false">Objednávka!$A$7:$N$47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<sst xmlns="http://schemas.openxmlformats.org/spreadsheetml/2006/main" count="398" uniqueCount="265">
  <si>
    <t xml:space="preserve">PDM 8CH rev 0.1 – objednávka součástek</t>
  </si>
  <si>
    <t xml:space="preserve">Žlutá pole jsou vstupy: počet desek, rezerva a ceny. Množství a součty se přepočítají samy.</t>
  </si>
  <si>
    <t xml:space="preserve">Počet desek</t>
  </si>
  <si>
    <t xml:space="preserve">Rezerva pasivních součástek</t>
  </si>
  <si>
    <t xml:space="preserve">Pasivní součástky se objednávají s rezervou, polovodiče a konektory přesně.</t>
  </si>
  <si>
    <t xml:space="preserve">Min. kusů navíc u pasivních (ztráty při osazování)</t>
  </si>
  <si>
    <t xml:space="preserve">Poz.</t>
  </si>
  <si>
    <t xml:space="preserve">Označení na desce</t>
  </si>
  <si>
    <t xml:space="preserve">Ks / deska</t>
  </si>
  <si>
    <t xml:space="preserve">Ks objednat</t>
  </si>
  <si>
    <t xml:space="preserve">Hodnota</t>
  </si>
  <si>
    <t xml:space="preserve">Pouzdro</t>
  </si>
  <si>
    <t xml:space="preserve">Výrobce</t>
  </si>
  <si>
    <t xml:space="preserve">MPN (objednací číslo)</t>
  </si>
  <si>
    <t xml:space="preserve">Popis</t>
  </si>
  <si>
    <t xml:space="preserve">Typ</t>
  </si>
  <si>
    <t xml:space="preserve">Osadit</t>
  </si>
  <si>
    <t xml:space="preserve">Cena / ks (Kč)</t>
  </si>
  <si>
    <t xml:space="preserve">Cena celkem (Kč)</t>
  </si>
  <si>
    <t xml:space="preserve">Poznámka</t>
  </si>
  <si>
    <t xml:space="preserve">D13, D17, D21, D25, D29, D33, D37, D41</t>
  </si>
  <si>
    <t xml:space="preserve">GREEN</t>
  </si>
  <si>
    <t xml:space="preserve">LED_0805</t>
  </si>
  <si>
    <t xml:space="preserve">Wurth Elektronik</t>
  </si>
  <si>
    <t xml:space="preserve">150080GS75000</t>
  </si>
  <si>
    <t xml:space="preserve">LED zelena 0805</t>
  </si>
  <si>
    <t xml:space="preserve">Polovodič</t>
  </si>
  <si>
    <t xml:space="preserve">ANO</t>
  </si>
  <si>
    <t xml:space="preserve">D14, D18, D22, D26, D30, D34, D38, D42</t>
  </si>
  <si>
    <t xml:space="preserve">RED</t>
  </si>
  <si>
    <t xml:space="preserve">150080RS75000</t>
  </si>
  <si>
    <t xml:space="preserve">LED cervena 0805</t>
  </si>
  <si>
    <t xml:space="preserve">U3, U4</t>
  </si>
  <si>
    <t xml:space="preserve">74HC86-Q100</t>
  </si>
  <si>
    <t xml:space="preserve">SOIC-14_3.9x8.7mm_P1.27mm</t>
  </si>
  <si>
    <t xml:space="preserve">Nexperia</t>
  </si>
  <si>
    <t xml:space="preserve">74HC86D-Q100J</t>
  </si>
  <si>
    <t xml:space="preserve">4x XOR, AEC-Q100</t>
  </si>
  <si>
    <t xml:space="preserve">D9, D10, D11, D12, D15, D16, D19, D20, D23, D24, D27, D28, D31, D32, D35, D36, D39, D40, D43, D44</t>
  </si>
  <si>
    <t xml:space="preserve">BAT54</t>
  </si>
  <si>
    <t xml:space="preserve">SOT-23</t>
  </si>
  <si>
    <t xml:space="preserve">BAT54,215</t>
  </si>
  <si>
    <t xml:space="preserve">Schottky 30V 200mA SOT-23</t>
  </si>
  <si>
    <t xml:space="preserve">D4, D5, D6, D7, D8</t>
  </si>
  <si>
    <t xml:space="preserve">BAV99</t>
  </si>
  <si>
    <t xml:space="preserve">BAV99,215</t>
  </si>
  <si>
    <t xml:space="preserve">Dvojita dioda 100V SOT-23</t>
  </si>
  <si>
    <t xml:space="preserve">Q2</t>
  </si>
  <si>
    <t xml:space="preserve">BSP75N</t>
  </si>
  <si>
    <t xml:space="preserve">SOT-223-3_TabPin2</t>
  </si>
  <si>
    <t xml:space="preserve">Infineon</t>
  </si>
  <si>
    <t xml:space="preserve">BSP75NH6327XTSA1</t>
  </si>
  <si>
    <t xml:space="preserve">Chraneny low-side spinac 60V (kontrolka)</t>
  </si>
  <si>
    <t xml:space="preserve">Q1</t>
  </si>
  <si>
    <t xml:space="preserve">BSS84</t>
  </si>
  <si>
    <t xml:space="preserve">BSS84,215</t>
  </si>
  <si>
    <t xml:space="preserve">P-MOSFET 50V SOT-23</t>
  </si>
  <si>
    <t xml:space="preserve">U10, U11, U12, U13, U14, U15, U16, U17</t>
  </si>
  <si>
    <t xml:space="preserve">BTS7002-1EPP</t>
  </si>
  <si>
    <t xml:space="preserve">Infineon_PG-TSDSO-14-22</t>
  </si>
  <si>
    <t xml:space="preserve">BTS70021EPPXUMA1</t>
  </si>
  <si>
    <t xml:space="preserve">PROFET+2 high-side spinac 2,6 mOhm</t>
  </si>
  <si>
    <t xml:space="preserve">Pod pouzdrem tepelné prokovy; měď 2 oz</t>
  </si>
  <si>
    <t xml:space="preserve">U5, U6, U7, U8, U9</t>
  </si>
  <si>
    <t xml:space="preserve">LM2901AVQDR (-Q1)</t>
  </si>
  <si>
    <t xml:space="preserve">Texas Instruments</t>
  </si>
  <si>
    <t xml:space="preserve">LM2901AVQDRQ1</t>
  </si>
  <si>
    <t xml:space="preserve">Ctyrnasobny komparator, AEC-Q100</t>
  </si>
  <si>
    <t xml:space="preserve">U9 je stejný typ (oscilátor a test kontrolky)</t>
  </si>
  <si>
    <t xml:space="preserve">U1</t>
  </si>
  <si>
    <t xml:space="preserve">LM2937IMP-5.0</t>
  </si>
  <si>
    <t xml:space="preserve">LM2937IMP-5.0/NOPB</t>
  </si>
  <si>
    <t xml:space="preserve">LDO 5V 500mA SOT-223</t>
  </si>
  <si>
    <t xml:space="preserve">D45</t>
  </si>
  <si>
    <t xml:space="preserve">18V 1W SMAZ18</t>
  </si>
  <si>
    <t xml:space="preserve">D_SMA</t>
  </si>
  <si>
    <t xml:space="preserve">Diodes Inc.</t>
  </si>
  <si>
    <t xml:space="preserve">SMAZ18-13-F</t>
  </si>
  <si>
    <t xml:space="preserve">Zenerova dioda 18V 1W SMA</t>
  </si>
  <si>
    <t xml:space="preserve">D3</t>
  </si>
  <si>
    <t xml:space="preserve">SMBJ33A</t>
  </si>
  <si>
    <t xml:space="preserve">D_SMB</t>
  </si>
  <si>
    <t xml:space="preserve">Littelfuse</t>
  </si>
  <si>
    <t xml:space="preserve">TVS 33V 600W SMB</t>
  </si>
  <si>
    <t xml:space="preserve">D1</t>
  </si>
  <si>
    <t xml:space="preserve">SMCJ33A</t>
  </si>
  <si>
    <t xml:space="preserve">D_SMC</t>
  </si>
  <si>
    <t xml:space="preserve">TVS 33V 1500W SMC</t>
  </si>
  <si>
    <t xml:space="preserve">D2</t>
  </si>
  <si>
    <t xml:space="preserve">SS34</t>
  </si>
  <si>
    <t xml:space="preserve">Vishay</t>
  </si>
  <si>
    <t xml:space="preserve">SS34-E3/61T</t>
  </si>
  <si>
    <t xml:space="preserve">Schottky 40V 3A SMA</t>
  </si>
  <si>
    <t xml:space="preserve">F1</t>
  </si>
  <si>
    <t xml:space="preserve">0.5A PTC 1812L050/33</t>
  </si>
  <si>
    <t xml:space="preserve">Fuse_1812</t>
  </si>
  <si>
    <t xml:space="preserve">1812L050/33MR</t>
  </si>
  <si>
    <t xml:space="preserve">Vratna pojistka PTC 0,5A hold 33V 1812</t>
  </si>
  <si>
    <t xml:space="preserve">Konektor/ostatní</t>
  </si>
  <si>
    <t xml:space="preserve">JP1, JP2, JP3</t>
  </si>
  <si>
    <t xml:space="preserve">LS/+12V</t>
  </si>
  <si>
    <t xml:space="preserve">PinHeader_1x03_P2.54mm_Vertical</t>
  </si>
  <si>
    <t xml:space="preserve">61300311121</t>
  </si>
  <si>
    <t xml:space="preserve">Kolikova lista 1x3 2,54 mm</t>
  </si>
  <si>
    <t xml:space="preserve">J1</t>
  </si>
  <si>
    <t xml:space="preserve">HCCPHPE24BKA90F</t>
  </si>
  <si>
    <t xml:space="preserve">Aptiv_SICMA_HCCPHPE24BKA90F_24P_RA</t>
  </si>
  <si>
    <t xml:space="preserve">Amphenol FCI</t>
  </si>
  <si>
    <t xml:space="preserve">SICMA hybrid 24 pin, uhlovy, do DPS</t>
  </si>
  <si>
    <t xml:space="preserve">Protikus (zásuvka + kontakty) viz list Mechanika</t>
  </si>
  <si>
    <t xml:space="preserve">C24, C33, C37, C41, C45, C49, C53, C57, C61</t>
  </si>
  <si>
    <t xml:space="preserve">10u / 10u/16V</t>
  </si>
  <si>
    <t xml:space="preserve">C_0805</t>
  </si>
  <si>
    <t xml:space="preserve">Samsung</t>
  </si>
  <si>
    <t xml:space="preserve">CL21A106KOQNNNE</t>
  </si>
  <si>
    <t xml:space="preserve">MLCC 10uF 16V X5R 0805</t>
  </si>
  <si>
    <t xml:space="preserve">Pasivní</t>
  </si>
  <si>
    <t xml:space="preserve">C13, C14, C15, C16, C17, C22, C32, C36, C40, C44, C48, C52, C56, C60</t>
  </si>
  <si>
    <t xml:space="preserve">10n / 10n/50V</t>
  </si>
  <si>
    <t xml:space="preserve">CL21B103KBANNNC</t>
  </si>
  <si>
    <t xml:space="preserve">MLCC 10nF 50V X7R 0805</t>
  </si>
  <si>
    <t xml:space="preserve">C3, C5, C18, C19, C20, C21, C25, C26, C27, C28, C29, C31, C35, C39, C43, C47, C51, C55, C59</t>
  </si>
  <si>
    <t xml:space="preserve">100n / 100n/50V</t>
  </si>
  <si>
    <t xml:space="preserve">CL21B104KBCNNNC</t>
  </si>
  <si>
    <t xml:space="preserve">MLCC 100nF 50V X7R 0805</t>
  </si>
  <si>
    <t xml:space="preserve">C62</t>
  </si>
  <si>
    <t xml:space="preserve">1u/50V</t>
  </si>
  <si>
    <t xml:space="preserve">CL21B105KBFNNNE</t>
  </si>
  <si>
    <t xml:space="preserve">MLCC 1uF 50V X7R 0805</t>
  </si>
  <si>
    <t xml:space="preserve">C23</t>
  </si>
  <si>
    <t xml:space="preserve">330n</t>
  </si>
  <si>
    <t xml:space="preserve">CL21B334KBFNNNE</t>
  </si>
  <si>
    <t xml:space="preserve">MLCC 330nF 50V X7R 0805</t>
  </si>
  <si>
    <t xml:space="preserve">C1, C2</t>
  </si>
  <si>
    <t xml:space="preserve">47u/50V</t>
  </si>
  <si>
    <t xml:space="preserve">CP_Elec_8x10</t>
  </si>
  <si>
    <t xml:space="preserve">Panasonic</t>
  </si>
  <si>
    <t xml:space="preserve">EEE-FK1H470P</t>
  </si>
  <si>
    <t xml:space="preserve">Elektrolyt 47uF 50V 8x10,2 mm 105 C</t>
  </si>
  <si>
    <t xml:space="preserve">C2 změněn z 22u na 47u/50V (stejné pouzdro jako C1)</t>
  </si>
  <si>
    <t xml:space="preserve">C8</t>
  </si>
  <si>
    <t xml:space="preserve">220n/100V</t>
  </si>
  <si>
    <t xml:space="preserve">Murata</t>
  </si>
  <si>
    <t xml:space="preserve">GCM21BR72A224KA37L</t>
  </si>
  <si>
    <t xml:space="preserve">MLCC 220nF 100V X7R 0805, AEC-Q200</t>
  </si>
  <si>
    <t xml:space="preserve">R18, R19, R20, R21, R31</t>
  </si>
  <si>
    <t xml:space="preserve">100k / 100k 1%</t>
  </si>
  <si>
    <t xml:space="preserve">R_0805</t>
  </si>
  <si>
    <t xml:space="preserve">Yageo</t>
  </si>
  <si>
    <t xml:space="preserve">RC0805FR-07100KL</t>
  </si>
  <si>
    <t xml:space="preserve">Rezistor 100k 1% 0805</t>
  </si>
  <si>
    <t xml:space="preserve">R3, R5, R7, R9, R11, R14, R16, R25, R26, R27, R28, R29, R36, R39, R44, R47, R52, R55, R60, R63, R68, R71, R76, R79, R84, R87, R92, R95</t>
  </si>
  <si>
    <t xml:space="preserve">10k / 10k 1%</t>
  </si>
  <si>
    <t xml:space="preserve">RC0805FR-0710KL</t>
  </si>
  <si>
    <t xml:space="preserve">Rezistor 10k 1% 0805</t>
  </si>
  <si>
    <t xml:space="preserve">R35, R38, R43, R46, R51, R54, R59, R62, R67, R70, R75, R78, R83, R86, R91, R94, R97</t>
  </si>
  <si>
    <t xml:space="preserve">1k / 1k 1%</t>
  </si>
  <si>
    <t xml:space="preserve">RC0805FR-071KL</t>
  </si>
  <si>
    <t xml:space="preserve">Rezistor 1k 1% 0805</t>
  </si>
  <si>
    <t xml:space="preserve">R22</t>
  </si>
  <si>
    <t xml:space="preserve">1M</t>
  </si>
  <si>
    <t xml:space="preserve">RC0805FR-071ML</t>
  </si>
  <si>
    <t xml:space="preserve">Rezistor 1M 1% 0805</t>
  </si>
  <si>
    <t xml:space="preserve">R23</t>
  </si>
  <si>
    <t xml:space="preserve">22k</t>
  </si>
  <si>
    <t xml:space="preserve">RC0805FR-0722KL</t>
  </si>
  <si>
    <t xml:space="preserve">Rezistor 22k 1% 0805</t>
  </si>
  <si>
    <t xml:space="preserve">R24</t>
  </si>
  <si>
    <t xml:space="preserve">300k</t>
  </si>
  <si>
    <t xml:space="preserve">RC0805FR-07300KL</t>
  </si>
  <si>
    <t xml:space="preserve">Rezistor 300k 1% 0805</t>
  </si>
  <si>
    <t xml:space="preserve">R13</t>
  </si>
  <si>
    <t xml:space="preserve">35k7 1%</t>
  </si>
  <si>
    <t xml:space="preserve">RC0805FR-0735K7L</t>
  </si>
  <si>
    <t xml:space="preserve">Rezistor 35k7 1% 0805</t>
  </si>
  <si>
    <t xml:space="preserve">R37, R45, R53, R61, R69, R77, R85, R93</t>
  </si>
  <si>
    <t xml:space="preserve">3k9</t>
  </si>
  <si>
    <t xml:space="preserve">RC0805FR-073K9L</t>
  </si>
  <si>
    <t xml:space="preserve">Rezistor 3k9 1% 0805</t>
  </si>
  <si>
    <t xml:space="preserve">R4, R6, R8, R10, R12</t>
  </si>
  <si>
    <t xml:space="preserve">47k</t>
  </si>
  <si>
    <t xml:space="preserve">RC0805FR-0747KL</t>
  </si>
  <si>
    <t xml:space="preserve">Rezistor 47k 1% 0805</t>
  </si>
  <si>
    <t xml:space="preserve">R34, R42, R50, R58, R66, R74, R82, R90</t>
  </si>
  <si>
    <t xml:space="preserve">47R</t>
  </si>
  <si>
    <t xml:space="preserve">RC0805FR-0747RL</t>
  </si>
  <si>
    <t xml:space="preserve">Rezistor 47R 1% 0805</t>
  </si>
  <si>
    <t xml:space="preserve">R30, R32, R33, R40, R41, R48, R49, R56, R57, R64, R65, R72, R73, R80, R81, R88, R89</t>
  </si>
  <si>
    <t xml:space="preserve">4k7</t>
  </si>
  <si>
    <t xml:space="preserve">RC0805FR-074K7L</t>
  </si>
  <si>
    <t xml:space="preserve">Rezistor 4k7 1% 0805</t>
  </si>
  <si>
    <t xml:space="preserve">R15</t>
  </si>
  <si>
    <t xml:space="preserve">66k5 1%</t>
  </si>
  <si>
    <t xml:space="preserve">RC0805FR-0766K5L</t>
  </si>
  <si>
    <t xml:space="preserve">Rezistor 66k5 1% 0805</t>
  </si>
  <si>
    <t xml:space="preserve">R17</t>
  </si>
  <si>
    <t xml:space="preserve">68k1 1%</t>
  </si>
  <si>
    <t xml:space="preserve">RC0805FR-0768K1L</t>
  </si>
  <si>
    <t xml:space="preserve">Rezistor 68k1 1% 0805</t>
  </si>
  <si>
    <t xml:space="preserve">R96</t>
  </si>
  <si>
    <t xml:space="preserve">470R</t>
  </si>
  <si>
    <t xml:space="preserve">R_1206</t>
  </si>
  <si>
    <t xml:space="preserve">RC1206FR-07470RL</t>
  </si>
  <si>
    <t xml:space="preserve">Rezistor 470R 1% 1206 (0,25 W)</t>
  </si>
  <si>
    <t xml:space="preserve">C4</t>
  </si>
  <si>
    <t xml:space="preserve">22u/10V tant</t>
  </si>
  <si>
    <t xml:space="preserve">CP_EIA-3528-21_Kemet-B</t>
  </si>
  <si>
    <t xml:space="preserve">KEMET</t>
  </si>
  <si>
    <t xml:space="preserve">T491B226K010AT</t>
  </si>
  <si>
    <t xml:space="preserve">Tantal 22uF 10V pouzdro B (ESR pro LM2937)</t>
  </si>
  <si>
    <t xml:space="preserve">C30, C34, C38, C42, C46, C50, C54, C58</t>
  </si>
  <si>
    <t xml:space="preserve">47n DNP</t>
  </si>
  <si>
    <t xml:space="preserve">CL21B473KBANNNC</t>
  </si>
  <si>
    <t xml:space="preserve">MLCC 47nF 50V X7R 0805 - NEOSAZOVAT</t>
  </si>
  <si>
    <t xml:space="preserve">NE</t>
  </si>
  <si>
    <t xml:space="preserve">Neosazovat (místo pro volitelný kondenzátor)</t>
  </si>
  <si>
    <t xml:space="preserve">Součet</t>
  </si>
  <si>
    <t xml:space="preserve">součástek na desku / kusů k objednání / cena</t>
  </si>
  <si>
    <t xml:space="preserve">Objednací čísla vybrána pro automobilové použití (AEC-Q, kde existuje). Skladovost a ceny ověřte u distributora (TME, Mouser, LCSC) – při tvorbě nebyl přístup k jejich webu.</t>
  </si>
  <si>
    <t xml:space="preserve">Rezistory: všechny Yageo RC0805 1 % (i tam, kde by stačilo 5 %) – jedna řada, stejná cena.</t>
  </si>
  <si>
    <t xml:space="preserve">Lze použít ekvivalenty jiných výrobců se stejnými parametry (hodnota, napětí, dielektrikum, pouzdro).</t>
  </si>
  <si>
    <t xml:space="preserve">Deska plošných spojů – parametry pro výrobce</t>
  </si>
  <si>
    <t xml:space="preserve">Soubory</t>
  </si>
  <si>
    <t xml:space="preserve">fab/PDM_gerber.zip (Gerber X2 + vrtání Excellon), fab/PDM-pos.csv (pozice pro osazení)</t>
  </si>
  <si>
    <t xml:space="preserve">Rozměr</t>
  </si>
  <si>
    <t xml:space="preserve">124 × 116 mm</t>
  </si>
  <si>
    <t xml:space="preserve">Počet vrstev</t>
  </si>
  <si>
    <t xml:space="preserve">4 (F.Cu, In1 = GND, In2 = VBAT, B.Cu)</t>
  </si>
  <si>
    <t xml:space="preserve">Tloušťka desky</t>
  </si>
  <si>
    <t xml:space="preserve">1,6 mm</t>
  </si>
  <si>
    <t xml:space="preserve">Měď vnější vrstvy</t>
  </si>
  <si>
    <t xml:space="preserve">2 oz (70 µm) – nutné kvůli kanálům 25 A</t>
  </si>
  <si>
    <t xml:space="preserve">Měď vnitřní vrstvy</t>
  </si>
  <si>
    <t xml:space="preserve">2 oz doporučeno (VBAT rovina vede proud všech kanálů), minimum 1 oz</t>
  </si>
  <si>
    <t xml:space="preserve">Min. šířka spoje / mezera</t>
  </si>
  <si>
    <t xml:space="preserve">0,15 mm / 0,2 mm</t>
  </si>
  <si>
    <t xml:space="preserve">Prokovy</t>
  </si>
  <si>
    <t xml:space="preserve">0,3 mm vrták / 0,6 mm ploška</t>
  </si>
  <si>
    <t xml:space="preserve">Povrch</t>
  </si>
  <si>
    <t xml:space="preserve">ENIG (rovné plošky pro TSDSO-14 a SOT-223), případně HASL bezolovnatý</t>
  </si>
  <si>
    <t xml:space="preserve">Maska / potisk</t>
  </si>
  <si>
    <t xml:space="preserve">zelená / bílý</t>
  </si>
  <si>
    <t xml:space="preserve">Počet kusů</t>
  </si>
  <si>
    <t xml:space="preserve">Tepelné prokovy pod BTS7002 (ploška VBAT): při osazování hlídat, aby pájka nestekla do prokovů (tenting / zaplnění prokovů).</t>
  </si>
  <si>
    <t xml:space="preserve">Mechanika a příslušenství (není ve schématu)</t>
  </si>
  <si>
    <t xml:space="preserve">Položka</t>
  </si>
  <si>
    <t xml:space="preserve">Specifikace</t>
  </si>
  <si>
    <t xml:space="preserve">Propojka (jumper) 2,54 mm</t>
  </si>
  <si>
    <t xml:space="preserve">Würth 60900213421 nebo ekvivalent</t>
  </si>
  <si>
    <t xml:space="preserve">JP1–JP3: 1-2 = vstup spínaný k zemi (LS), 2-3 = aktivní +12 V</t>
  </si>
  <si>
    <t xml:space="preserve">Šroub M6 pro VBAT (J2)</t>
  </si>
  <si>
    <t xml:space="preserve">M6 × 20 + 2× podložka M6 + pružná podložka + matice M6</t>
  </si>
  <si>
    <t xml:space="preserve">Kabelové oko VBAT pod hlavu šroubu; ploška J2 je VBAT</t>
  </si>
  <si>
    <t xml:space="preserve">Kabelové oko M6</t>
  </si>
  <si>
    <t xml:space="preserve">Lisovací oko M6 pro průřez VBAT kabelu (např. 16–25 mm²)</t>
  </si>
  <si>
    <t xml:space="preserve">Průřez podle celkového proudu</t>
  </si>
  <si>
    <t xml:space="preserve">Hlavní pojistka VBAT</t>
  </si>
  <si>
    <t xml:space="preserve">MIDI/ANL pojistka + držák, hodnota podle průřezu VBAT kabelu</t>
  </si>
  <si>
    <t xml:space="preserve">Co nejblíž baterii; PDM nemá vlastní hlavní pojistku</t>
  </si>
  <si>
    <t xml:space="preserve">Protikus konektoru J1</t>
  </si>
  <si>
    <t xml:space="preserve">SICMA 24-pin zásuvka k HCCPHPE24BKA90F + kontakty 1,5 mm (18×) a 2,8 mm (6×) + záslepky/těsnění</t>
  </si>
  <si>
    <t xml:space="preserve">Přesné objednací číslo protikusu dohledat v katalogu Amphenol FCI / Aptiv (neověřeno)</t>
  </si>
  <si>
    <t xml:space="preserve">Montážní šrouby M3</t>
  </si>
  <si>
    <t xml:space="preserve">Šroub M3 + distanční sloupek podle krabičky</t>
  </si>
  <si>
    <t xml:space="preserve">Otvory H1–H4 v rozích desky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</si>
</sst>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%"/>
    <numFmt numFmtId="167" formatCode="General"/>
    <numFmt numFmtId="168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24"/>
    <col collapsed="false" customWidth="true" hidden="false" outlineLevel="0" max="9" min="9" style="0" width="40"/>
    <col collapsed="false" customWidth="true" hidden="false" outlineLevel="0" max="10" min="10" style="0" width="15"/>
    <col collapsed="false" customWidth="true" hidden="false" outlineLevel="0" max="11" min="11" style="0" width="8"/>
    <col collapsed="false" customWidth="true" hidden="false" outlineLevel="0" max="12" min="12" style="0" width="13"/>
    <col collapsed="false" customWidth="true" hidden="false" outlineLevel="0" max="13" min="13" style="0" width="15"/>
    <col collapsed="false" customWidth="true" hidden="false" outlineLevel="0" max="14" min="14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C3" s="4" t="n">
        <v>2</v>
      </c>
    </row>
    <row r="4" customFormat="false" ht="15" hidden="false" customHeight="false" outlineLevel="0" collapsed="false">
      <c r="A4" s="3" t="s">
        <v>3</v>
      </c>
      <c r="C4" s="5" t="n">
        <v>0.1</v>
      </c>
      <c r="D4" s="2" t="s">
        <v>4</v>
      </c>
    </row>
    <row r="5" customFormat="false" ht="15" hidden="false" customHeight="false" outlineLevel="0" collapsed="false">
      <c r="A5" s="3" t="s">
        <v>5</v>
      </c>
      <c r="C5" s="4" t="n">
        <v>5</v>
      </c>
    </row>
    <row r="7" customFormat="false" ht="26.85" hidden="false" customHeight="false" outlineLevel="0" collapsed="false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  <c r="M7" s="6" t="s">
        <v>18</v>
      </c>
      <c r="N7" s="6" t="s">
        <v>19</v>
      </c>
    </row>
    <row r="8" customFormat="false" ht="15" hidden="false" customHeight="false" outlineLevel="0" collapsed="false">
      <c r="A8" s="7" t="n">
        <v>1</v>
      </c>
      <c r="B8" s="8" t="s">
        <v>20</v>
      </c>
      <c r="C8" s="7" t="n">
        <v>8</v>
      </c>
      <c r="D8" s="9" t="n">
        <f aca="false">IF(K8="NE",0,IF(J8="Pasivní",ROUNDUP(C8*$C$3*(1+$C$4),0)+$C$5,C8*$C$3))</f>
        <v>16</v>
      </c>
      <c r="E8" s="7" t="s">
        <v>21</v>
      </c>
      <c r="F8" s="7" t="s">
        <v>22</v>
      </c>
      <c r="G8" s="7" t="s">
        <v>23</v>
      </c>
      <c r="H8" s="7" t="s">
        <v>24</v>
      </c>
      <c r="I8" s="8" t="s">
        <v>25</v>
      </c>
      <c r="J8" s="7" t="s">
        <v>26</v>
      </c>
      <c r="K8" s="7" t="s">
        <v>27</v>
      </c>
      <c r="L8" s="10"/>
      <c r="M8" s="11" t="str">
        <f aca="false">IF(L8="","",D8*L8)</f>
        <v/>
      </c>
      <c r="N8" s="8"/>
    </row>
    <row r="9" customFormat="false" ht="15" hidden="false" customHeight="false" outlineLevel="0" collapsed="false">
      <c r="A9" s="7" t="n">
        <v>2</v>
      </c>
      <c r="B9" s="8" t="s">
        <v>28</v>
      </c>
      <c r="C9" s="7" t="n">
        <v>8</v>
      </c>
      <c r="D9" s="9" t="n">
        <f aca="false">IF(K9="NE",0,IF(J9="Pasivní",ROUNDUP(C9*$C$3*(1+$C$4),0)+$C$5,C9*$C$3))</f>
        <v>16</v>
      </c>
      <c r="E9" s="7" t="s">
        <v>29</v>
      </c>
      <c r="F9" s="7" t="s">
        <v>22</v>
      </c>
      <c r="G9" s="7" t="s">
        <v>23</v>
      </c>
      <c r="H9" s="7" t="s">
        <v>30</v>
      </c>
      <c r="I9" s="8" t="s">
        <v>31</v>
      </c>
      <c r="J9" s="7" t="s">
        <v>26</v>
      </c>
      <c r="K9" s="7" t="s">
        <v>27</v>
      </c>
      <c r="L9" s="10"/>
      <c r="M9" s="11" t="str">
        <f aca="false">IF(L9="","",D9*L9)</f>
        <v/>
      </c>
      <c r="N9" s="8"/>
    </row>
    <row r="10" customFormat="false" ht="15" hidden="false" customHeight="false" outlineLevel="0" collapsed="false">
      <c r="A10" s="7" t="n">
        <v>3</v>
      </c>
      <c r="B10" s="8" t="s">
        <v>32</v>
      </c>
      <c r="C10" s="7" t="n">
        <v>2</v>
      </c>
      <c r="D10" s="9" t="n">
        <f aca="false">IF(K10="NE",0,IF(J10="Pasivní",ROUNDUP(C10*$C$3*(1+$C$4),0)+$C$5,C10*$C$3))</f>
        <v>4</v>
      </c>
      <c r="E10" s="7" t="s">
        <v>33</v>
      </c>
      <c r="F10" s="7" t="s">
        <v>34</v>
      </c>
      <c r="G10" s="7" t="s">
        <v>35</v>
      </c>
      <c r="H10" s="7" t="s">
        <v>36</v>
      </c>
      <c r="I10" s="8" t="s">
        <v>37</v>
      </c>
      <c r="J10" s="7" t="s">
        <v>26</v>
      </c>
      <c r="K10" s="7" t="s">
        <v>27</v>
      </c>
      <c r="L10" s="10"/>
      <c r="M10" s="11" t="str">
        <f aca="false">IF(L10="","",D10*L10)</f>
        <v/>
      </c>
      <c r="N10" s="8"/>
    </row>
    <row r="11" customFormat="false" ht="26.85" hidden="false" customHeight="false" outlineLevel="0" collapsed="false">
      <c r="A11" s="7" t="n">
        <v>4</v>
      </c>
      <c r="B11" s="8" t="s">
        <v>38</v>
      </c>
      <c r="C11" s="7" t="n">
        <v>20</v>
      </c>
      <c r="D11" s="9" t="n">
        <f aca="false">IF(K11="NE",0,IF(J11="Pasivní",ROUNDUP(C11*$C$3*(1+$C$4),0)+$C$5,C11*$C$3))</f>
        <v>40</v>
      </c>
      <c r="E11" s="7" t="s">
        <v>39</v>
      </c>
      <c r="F11" s="7" t="s">
        <v>40</v>
      </c>
      <c r="G11" s="7" t="s">
        <v>35</v>
      </c>
      <c r="H11" s="7" t="s">
        <v>41</v>
      </c>
      <c r="I11" s="8" t="s">
        <v>42</v>
      </c>
      <c r="J11" s="7" t="s">
        <v>26</v>
      </c>
      <c r="K11" s="7" t="s">
        <v>27</v>
      </c>
      <c r="L11" s="10"/>
      <c r="M11" s="11" t="str">
        <f aca="false">IF(L11="","",D11*L11)</f>
        <v/>
      </c>
      <c r="N11" s="8"/>
    </row>
    <row r="12" customFormat="false" ht="15" hidden="false" customHeight="false" outlineLevel="0" collapsed="false">
      <c r="A12" s="7" t="n">
        <v>5</v>
      </c>
      <c r="B12" s="8" t="s">
        <v>43</v>
      </c>
      <c r="C12" s="7" t="n">
        <v>5</v>
      </c>
      <c r="D12" s="9" t="n">
        <f aca="false">IF(K12="NE",0,IF(J12="Pasivní",ROUNDUP(C12*$C$3*(1+$C$4),0)+$C$5,C12*$C$3))</f>
        <v>10</v>
      </c>
      <c r="E12" s="7" t="s">
        <v>44</v>
      </c>
      <c r="F12" s="7" t="s">
        <v>40</v>
      </c>
      <c r="G12" s="7" t="s">
        <v>35</v>
      </c>
      <c r="H12" s="7" t="s">
        <v>45</v>
      </c>
      <c r="I12" s="8" t="s">
        <v>46</v>
      </c>
      <c r="J12" s="7" t="s">
        <v>26</v>
      </c>
      <c r="K12" s="7" t="s">
        <v>27</v>
      </c>
      <c r="L12" s="10"/>
      <c r="M12" s="11" t="str">
        <f aca="false">IF(L12="","",D12*L12)</f>
        <v/>
      </c>
      <c r="N12" s="8"/>
    </row>
    <row r="13" customFormat="false" ht="15" hidden="false" customHeight="false" outlineLevel="0" collapsed="false">
      <c r="A13" s="7" t="n">
        <v>6</v>
      </c>
      <c r="B13" s="8" t="s">
        <v>47</v>
      </c>
      <c r="C13" s="7" t="n">
        <v>1</v>
      </c>
      <c r="D13" s="9" t="n">
        <f aca="false">IF(K13="NE",0,IF(J13="Pasivní",ROUNDUP(C13*$C$3*(1+$C$4),0)+$C$5,C13*$C$3))</f>
        <v>2</v>
      </c>
      <c r="E13" s="7" t="s">
        <v>48</v>
      </c>
      <c r="F13" s="7" t="s">
        <v>49</v>
      </c>
      <c r="G13" s="7" t="s">
        <v>50</v>
      </c>
      <c r="H13" s="7" t="s">
        <v>51</v>
      </c>
      <c r="I13" s="8" t="s">
        <v>52</v>
      </c>
      <c r="J13" s="7" t="s">
        <v>26</v>
      </c>
      <c r="K13" s="7" t="s">
        <v>27</v>
      </c>
      <c r="L13" s="10"/>
      <c r="M13" s="11" t="str">
        <f aca="false">IF(L13="","",D13*L13)</f>
        <v/>
      </c>
      <c r="N13" s="8"/>
    </row>
    <row r="14" customFormat="false" ht="15" hidden="false" customHeight="false" outlineLevel="0" collapsed="false">
      <c r="A14" s="7" t="n">
        <v>7</v>
      </c>
      <c r="B14" s="8" t="s">
        <v>53</v>
      </c>
      <c r="C14" s="7" t="n">
        <v>1</v>
      </c>
      <c r="D14" s="9" t="n">
        <f aca="false">IF(K14="NE",0,IF(J14="Pasivní",ROUNDUP(C14*$C$3*(1+$C$4),0)+$C$5,C14*$C$3))</f>
        <v>2</v>
      </c>
      <c r="E14" s="7" t="s">
        <v>54</v>
      </c>
      <c r="F14" s="7" t="s">
        <v>40</v>
      </c>
      <c r="G14" s="7" t="s">
        <v>35</v>
      </c>
      <c r="H14" s="7" t="s">
        <v>55</v>
      </c>
      <c r="I14" s="8" t="s">
        <v>56</v>
      </c>
      <c r="J14" s="7" t="s">
        <v>26</v>
      </c>
      <c r="K14" s="7" t="s">
        <v>27</v>
      </c>
      <c r="L14" s="10"/>
      <c r="M14" s="11" t="str">
        <f aca="false">IF(L14="","",D14*L14)</f>
        <v/>
      </c>
      <c r="N14" s="8"/>
    </row>
    <row r="15" customFormat="false" ht="15" hidden="false" customHeight="false" outlineLevel="0" collapsed="false">
      <c r="A15" s="7" t="n">
        <v>8</v>
      </c>
      <c r="B15" s="8" t="s">
        <v>57</v>
      </c>
      <c r="C15" s="7" t="n">
        <v>8</v>
      </c>
      <c r="D15" s="9" t="n">
        <f aca="false">IF(K15="NE",0,IF(J15="Pasivní",ROUNDUP(C15*$C$3*(1+$C$4),0)+$C$5,C15*$C$3))</f>
        <v>16</v>
      </c>
      <c r="E15" s="7" t="s">
        <v>58</v>
      </c>
      <c r="F15" s="7" t="s">
        <v>59</v>
      </c>
      <c r="G15" s="7" t="s">
        <v>50</v>
      </c>
      <c r="H15" s="7" t="s">
        <v>60</v>
      </c>
      <c r="I15" s="8" t="s">
        <v>61</v>
      </c>
      <c r="J15" s="7" t="s">
        <v>26</v>
      </c>
      <c r="K15" s="7" t="s">
        <v>27</v>
      </c>
      <c r="L15" s="10"/>
      <c r="M15" s="11" t="str">
        <f aca="false">IF(L15="","",D15*L15)</f>
        <v/>
      </c>
      <c r="N15" s="8" t="s">
        <v>62</v>
      </c>
    </row>
    <row r="16" customFormat="false" ht="15" hidden="false" customHeight="false" outlineLevel="0" collapsed="false">
      <c r="A16" s="7" t="n">
        <v>9</v>
      </c>
      <c r="B16" s="8" t="s">
        <v>63</v>
      </c>
      <c r="C16" s="7" t="n">
        <v>5</v>
      </c>
      <c r="D16" s="9" t="n">
        <f aca="false">IF(K16="NE",0,IF(J16="Pasivní",ROUNDUP(C16*$C$3*(1+$C$4),0)+$C$5,C16*$C$3))</f>
        <v>10</v>
      </c>
      <c r="E16" s="7" t="s">
        <v>64</v>
      </c>
      <c r="F16" s="7" t="s">
        <v>34</v>
      </c>
      <c r="G16" s="7" t="s">
        <v>65</v>
      </c>
      <c r="H16" s="7" t="s">
        <v>66</v>
      </c>
      <c r="I16" s="8" t="s">
        <v>67</v>
      </c>
      <c r="J16" s="7" t="s">
        <v>26</v>
      </c>
      <c r="K16" s="7" t="s">
        <v>27</v>
      </c>
      <c r="L16" s="10"/>
      <c r="M16" s="11" t="str">
        <f aca="false">IF(L16="","",D16*L16)</f>
        <v/>
      </c>
      <c r="N16" s="8" t="s">
        <v>68</v>
      </c>
    </row>
    <row r="17" customFormat="false" ht="15" hidden="false" customHeight="false" outlineLevel="0" collapsed="false">
      <c r="A17" s="7" t="n">
        <v>10</v>
      </c>
      <c r="B17" s="8" t="s">
        <v>69</v>
      </c>
      <c r="C17" s="7" t="n">
        <v>1</v>
      </c>
      <c r="D17" s="9" t="n">
        <f aca="false">IF(K17="NE",0,IF(J17="Pasivní",ROUNDUP(C17*$C$3*(1+$C$4),0)+$C$5,C17*$C$3))</f>
        <v>2</v>
      </c>
      <c r="E17" s="7" t="s">
        <v>70</v>
      </c>
      <c r="F17" s="7" t="s">
        <v>49</v>
      </c>
      <c r="G17" s="7" t="s">
        <v>65</v>
      </c>
      <c r="H17" s="7" t="s">
        <v>71</v>
      </c>
      <c r="I17" s="8" t="s">
        <v>72</v>
      </c>
      <c r="J17" s="7" t="s">
        <v>26</v>
      </c>
      <c r="K17" s="7" t="s">
        <v>27</v>
      </c>
      <c r="L17" s="10"/>
      <c r="M17" s="11" t="str">
        <f aca="false">IF(L17="","",D17*L17)</f>
        <v/>
      </c>
      <c r="N17" s="8"/>
    </row>
    <row r="18" customFormat="false" ht="15" hidden="false" customHeight="false" outlineLevel="0" collapsed="false">
      <c r="A18" s="7" t="n">
        <v>11</v>
      </c>
      <c r="B18" s="8" t="s">
        <v>73</v>
      </c>
      <c r="C18" s="7" t="n">
        <v>1</v>
      </c>
      <c r="D18" s="9" t="n">
        <f aca="false">IF(K18="NE",0,IF(J18="Pasivní",ROUNDUP(C18*$C$3*(1+$C$4),0)+$C$5,C18*$C$3))</f>
        <v>2</v>
      </c>
      <c r="E18" s="7" t="s">
        <v>74</v>
      </c>
      <c r="F18" s="7" t="s">
        <v>75</v>
      </c>
      <c r="G18" s="7" t="s">
        <v>76</v>
      </c>
      <c r="H18" s="7" t="s">
        <v>77</v>
      </c>
      <c r="I18" s="8" t="s">
        <v>78</v>
      </c>
      <c r="J18" s="7" t="s">
        <v>26</v>
      </c>
      <c r="K18" s="7" t="s">
        <v>27</v>
      </c>
      <c r="L18" s="10"/>
      <c r="M18" s="11" t="str">
        <f aca="false">IF(L18="","",D18*L18)</f>
        <v/>
      </c>
      <c r="N18" s="8"/>
    </row>
    <row r="19" customFormat="false" ht="15" hidden="false" customHeight="false" outlineLevel="0" collapsed="false">
      <c r="A19" s="7" t="n">
        <v>12</v>
      </c>
      <c r="B19" s="8" t="s">
        <v>79</v>
      </c>
      <c r="C19" s="7" t="n">
        <v>1</v>
      </c>
      <c r="D19" s="9" t="n">
        <f aca="false">IF(K19="NE",0,IF(J19="Pasivní",ROUNDUP(C19*$C$3*(1+$C$4),0)+$C$5,C19*$C$3))</f>
        <v>2</v>
      </c>
      <c r="E19" s="7" t="s">
        <v>80</v>
      </c>
      <c r="F19" s="7" t="s">
        <v>81</v>
      </c>
      <c r="G19" s="7" t="s">
        <v>82</v>
      </c>
      <c r="H19" s="7" t="s">
        <v>80</v>
      </c>
      <c r="I19" s="8" t="s">
        <v>83</v>
      </c>
      <c r="J19" s="7" t="s">
        <v>26</v>
      </c>
      <c r="K19" s="7" t="s">
        <v>27</v>
      </c>
      <c r="L19" s="10"/>
      <c r="M19" s="11" t="str">
        <f aca="false">IF(L19="","",D19*L19)</f>
        <v/>
      </c>
      <c r="N19" s="8"/>
    </row>
    <row r="20" customFormat="false" ht="15" hidden="false" customHeight="false" outlineLevel="0" collapsed="false">
      <c r="A20" s="7" t="n">
        <v>13</v>
      </c>
      <c r="B20" s="8" t="s">
        <v>84</v>
      </c>
      <c r="C20" s="7" t="n">
        <v>1</v>
      </c>
      <c r="D20" s="9" t="n">
        <f aca="false">IF(K20="NE",0,IF(J20="Pasivní",ROUNDUP(C20*$C$3*(1+$C$4),0)+$C$5,C20*$C$3))</f>
        <v>2</v>
      </c>
      <c r="E20" s="7" t="s">
        <v>85</v>
      </c>
      <c r="F20" s="7" t="s">
        <v>86</v>
      </c>
      <c r="G20" s="7" t="s">
        <v>82</v>
      </c>
      <c r="H20" s="7" t="s">
        <v>85</v>
      </c>
      <c r="I20" s="8" t="s">
        <v>87</v>
      </c>
      <c r="J20" s="7" t="s">
        <v>26</v>
      </c>
      <c r="K20" s="7" t="s">
        <v>27</v>
      </c>
      <c r="L20" s="10"/>
      <c r="M20" s="11" t="str">
        <f aca="false">IF(L20="","",D20*L20)</f>
        <v/>
      </c>
      <c r="N20" s="8"/>
    </row>
    <row r="21" customFormat="false" ht="15" hidden="false" customHeight="false" outlineLevel="0" collapsed="false">
      <c r="A21" s="7" t="n">
        <v>14</v>
      </c>
      <c r="B21" s="8" t="s">
        <v>88</v>
      </c>
      <c r="C21" s="7" t="n">
        <v>1</v>
      </c>
      <c r="D21" s="9" t="n">
        <f aca="false">IF(K21="NE",0,IF(J21="Pasivní",ROUNDUP(C21*$C$3*(1+$C$4),0)+$C$5,C21*$C$3))</f>
        <v>2</v>
      </c>
      <c r="E21" s="7" t="s">
        <v>89</v>
      </c>
      <c r="F21" s="7" t="s">
        <v>75</v>
      </c>
      <c r="G21" s="7" t="s">
        <v>90</v>
      </c>
      <c r="H21" s="7" t="s">
        <v>91</v>
      </c>
      <c r="I21" s="8" t="s">
        <v>92</v>
      </c>
      <c r="J21" s="7" t="s">
        <v>26</v>
      </c>
      <c r="K21" s="7" t="s">
        <v>27</v>
      </c>
      <c r="L21" s="10"/>
      <c r="M21" s="11" t="str">
        <f aca="false">IF(L21="","",D21*L21)</f>
        <v/>
      </c>
      <c r="N21" s="8"/>
    </row>
    <row r="22" customFormat="false" ht="15" hidden="false" customHeight="false" outlineLevel="0" collapsed="false">
      <c r="A22" s="7" t="n">
        <v>15</v>
      </c>
      <c r="B22" s="8" t="s">
        <v>93</v>
      </c>
      <c r="C22" s="7" t="n">
        <v>1</v>
      </c>
      <c r="D22" s="9" t="n">
        <f aca="false">IF(K22="NE",0,IF(J22="Pasivní",ROUNDUP(C22*$C$3*(1+$C$4),0)+$C$5,C22*$C$3))</f>
        <v>2</v>
      </c>
      <c r="E22" s="7" t="s">
        <v>94</v>
      </c>
      <c r="F22" s="7" t="s">
        <v>95</v>
      </c>
      <c r="G22" s="7" t="s">
        <v>82</v>
      </c>
      <c r="H22" s="7" t="s">
        <v>96</v>
      </c>
      <c r="I22" s="8" t="s">
        <v>97</v>
      </c>
      <c r="J22" s="7" t="s">
        <v>98</v>
      </c>
      <c r="K22" s="7" t="s">
        <v>27</v>
      </c>
      <c r="L22" s="10"/>
      <c r="M22" s="11" t="str">
        <f aca="false">IF(L22="","",D22*L22)</f>
        <v/>
      </c>
      <c r="N22" s="8"/>
    </row>
    <row r="23" customFormat="false" ht="15" hidden="false" customHeight="false" outlineLevel="0" collapsed="false">
      <c r="A23" s="7" t="n">
        <v>16</v>
      </c>
      <c r="B23" s="8" t="s">
        <v>99</v>
      </c>
      <c r="C23" s="7" t="n">
        <v>3</v>
      </c>
      <c r="D23" s="9" t="n">
        <f aca="false">IF(K23="NE",0,IF(J23="Pasivní",ROUNDUP(C23*$C$3*(1+$C$4),0)+$C$5,C23*$C$3))</f>
        <v>6</v>
      </c>
      <c r="E23" s="7" t="s">
        <v>100</v>
      </c>
      <c r="F23" s="7" t="s">
        <v>101</v>
      </c>
      <c r="G23" s="7" t="s">
        <v>23</v>
      </c>
      <c r="H23" s="7" t="s">
        <v>102</v>
      </c>
      <c r="I23" s="8" t="s">
        <v>103</v>
      </c>
      <c r="J23" s="7" t="s">
        <v>98</v>
      </c>
      <c r="K23" s="7" t="s">
        <v>27</v>
      </c>
      <c r="L23" s="10"/>
      <c r="M23" s="11" t="str">
        <f aca="false">IF(L23="","",D23*L23)</f>
        <v/>
      </c>
      <c r="N23" s="8"/>
    </row>
    <row r="24" customFormat="false" ht="15" hidden="false" customHeight="false" outlineLevel="0" collapsed="false">
      <c r="A24" s="7" t="n">
        <v>17</v>
      </c>
      <c r="B24" s="8" t="s">
        <v>104</v>
      </c>
      <c r="C24" s="7" t="n">
        <v>1</v>
      </c>
      <c r="D24" s="9" t="n">
        <f aca="false">IF(K24="NE",0,IF(J24="Pasivní",ROUNDUP(C24*$C$3*(1+$C$4),0)+$C$5,C24*$C$3))</f>
        <v>2</v>
      </c>
      <c r="E24" s="7" t="s">
        <v>105</v>
      </c>
      <c r="F24" s="7" t="s">
        <v>106</v>
      </c>
      <c r="G24" s="7" t="s">
        <v>107</v>
      </c>
      <c r="H24" s="7" t="s">
        <v>105</v>
      </c>
      <c r="I24" s="8" t="s">
        <v>108</v>
      </c>
      <c r="J24" s="7" t="s">
        <v>98</v>
      </c>
      <c r="K24" s="7" t="s">
        <v>27</v>
      </c>
      <c r="L24" s="10"/>
      <c r="M24" s="11" t="str">
        <f aca="false">IF(L24="","",D24*L24)</f>
        <v/>
      </c>
      <c r="N24" s="8" t="s">
        <v>109</v>
      </c>
    </row>
    <row r="25" customFormat="false" ht="15" hidden="false" customHeight="false" outlineLevel="0" collapsed="false">
      <c r="A25" s="7" t="n">
        <v>18</v>
      </c>
      <c r="B25" s="8" t="s">
        <v>110</v>
      </c>
      <c r="C25" s="7" t="n">
        <v>9</v>
      </c>
      <c r="D25" s="9" t="n">
        <f aca="false">IF(K25="NE",0,IF(J25="Pasivní",ROUNDUP(C25*$C$3*(1+$C$4),0)+$C$5,C25*$C$3))</f>
        <v>25</v>
      </c>
      <c r="E25" s="7" t="s">
        <v>111</v>
      </c>
      <c r="F25" s="7" t="s">
        <v>112</v>
      </c>
      <c r="G25" s="7" t="s">
        <v>113</v>
      </c>
      <c r="H25" s="7" t="s">
        <v>114</v>
      </c>
      <c r="I25" s="8" t="s">
        <v>115</v>
      </c>
      <c r="J25" s="7" t="s">
        <v>116</v>
      </c>
      <c r="K25" s="7" t="s">
        <v>27</v>
      </c>
      <c r="L25" s="10"/>
      <c r="M25" s="11" t="str">
        <f aca="false">IF(L25="","",D25*L25)</f>
        <v/>
      </c>
      <c r="N25" s="8"/>
    </row>
    <row r="26" customFormat="false" ht="26.85" hidden="false" customHeight="false" outlineLevel="0" collapsed="false">
      <c r="A26" s="7" t="n">
        <v>19</v>
      </c>
      <c r="B26" s="8" t="s">
        <v>117</v>
      </c>
      <c r="C26" s="7" t="n">
        <v>14</v>
      </c>
      <c r="D26" s="9" t="n">
        <f aca="false">IF(K26="NE",0,IF(J26="Pasivní",ROUNDUP(C26*$C$3*(1+$C$4),0)+$C$5,C26*$C$3))</f>
        <v>36</v>
      </c>
      <c r="E26" s="7" t="s">
        <v>118</v>
      </c>
      <c r="F26" s="7" t="s">
        <v>112</v>
      </c>
      <c r="G26" s="7" t="s">
        <v>113</v>
      </c>
      <c r="H26" s="7" t="s">
        <v>119</v>
      </c>
      <c r="I26" s="8" t="s">
        <v>120</v>
      </c>
      <c r="J26" s="7" t="s">
        <v>116</v>
      </c>
      <c r="K26" s="7" t="s">
        <v>27</v>
      </c>
      <c r="L26" s="10"/>
      <c r="M26" s="11" t="str">
        <f aca="false">IF(L26="","",D26*L26)</f>
        <v/>
      </c>
      <c r="N26" s="8"/>
    </row>
    <row r="27" customFormat="false" ht="26.85" hidden="false" customHeight="false" outlineLevel="0" collapsed="false">
      <c r="A27" s="7" t="n">
        <v>20</v>
      </c>
      <c r="B27" s="8" t="s">
        <v>121</v>
      </c>
      <c r="C27" s="7" t="n">
        <v>19</v>
      </c>
      <c r="D27" s="9" t="n">
        <f aca="false">IF(K27="NE",0,IF(J27="Pasivní",ROUNDUP(C27*$C$3*(1+$C$4),0)+$C$5,C27*$C$3))</f>
        <v>47</v>
      </c>
      <c r="E27" s="7" t="s">
        <v>122</v>
      </c>
      <c r="F27" s="7" t="s">
        <v>112</v>
      </c>
      <c r="G27" s="7" t="s">
        <v>113</v>
      </c>
      <c r="H27" s="7" t="s">
        <v>123</v>
      </c>
      <c r="I27" s="8" t="s">
        <v>124</v>
      </c>
      <c r="J27" s="7" t="s">
        <v>116</v>
      </c>
      <c r="K27" s="7" t="s">
        <v>27</v>
      </c>
      <c r="L27" s="10"/>
      <c r="M27" s="11" t="str">
        <f aca="false">IF(L27="","",D27*L27)</f>
        <v/>
      </c>
      <c r="N27" s="8"/>
    </row>
    <row r="28" customFormat="false" ht="15" hidden="false" customHeight="false" outlineLevel="0" collapsed="false">
      <c r="A28" s="7" t="n">
        <v>21</v>
      </c>
      <c r="B28" s="8" t="s">
        <v>125</v>
      </c>
      <c r="C28" s="7" t="n">
        <v>1</v>
      </c>
      <c r="D28" s="9" t="n">
        <f aca="false">IF(K28="NE",0,IF(J28="Pasivní",ROUNDUP(C28*$C$3*(1+$C$4),0)+$C$5,C28*$C$3))</f>
        <v>8</v>
      </c>
      <c r="E28" s="7" t="s">
        <v>126</v>
      </c>
      <c r="F28" s="7" t="s">
        <v>112</v>
      </c>
      <c r="G28" s="7" t="s">
        <v>113</v>
      </c>
      <c r="H28" s="7" t="s">
        <v>127</v>
      </c>
      <c r="I28" s="8" t="s">
        <v>128</v>
      </c>
      <c r="J28" s="7" t="s">
        <v>116</v>
      </c>
      <c r="K28" s="7" t="s">
        <v>27</v>
      </c>
      <c r="L28" s="10"/>
      <c r="M28" s="11" t="str">
        <f aca="false">IF(L28="","",D28*L28)</f>
        <v/>
      </c>
      <c r="N28" s="8"/>
    </row>
    <row r="29" customFormat="false" ht="15" hidden="false" customHeight="false" outlineLevel="0" collapsed="false">
      <c r="A29" s="7" t="n">
        <v>22</v>
      </c>
      <c r="B29" s="8" t="s">
        <v>129</v>
      </c>
      <c r="C29" s="7" t="n">
        <v>1</v>
      </c>
      <c r="D29" s="9" t="n">
        <f aca="false">IF(K29="NE",0,IF(J29="Pasivní",ROUNDUP(C29*$C$3*(1+$C$4),0)+$C$5,C29*$C$3))</f>
        <v>8</v>
      </c>
      <c r="E29" s="7" t="s">
        <v>130</v>
      </c>
      <c r="F29" s="7" t="s">
        <v>112</v>
      </c>
      <c r="G29" s="7" t="s">
        <v>113</v>
      </c>
      <c r="H29" s="7" t="s">
        <v>131</v>
      </c>
      <c r="I29" s="8" t="s">
        <v>132</v>
      </c>
      <c r="J29" s="7" t="s">
        <v>116</v>
      </c>
      <c r="K29" s="7" t="s">
        <v>27</v>
      </c>
      <c r="L29" s="10"/>
      <c r="M29" s="11" t="str">
        <f aca="false">IF(L29="","",D29*L29)</f>
        <v/>
      </c>
      <c r="N29" s="8"/>
    </row>
    <row r="30" customFormat="false" ht="26.85" hidden="false" customHeight="false" outlineLevel="0" collapsed="false">
      <c r="A30" s="7" t="n">
        <v>23</v>
      </c>
      <c r="B30" s="8" t="s">
        <v>133</v>
      </c>
      <c r="C30" s="7" t="n">
        <v>2</v>
      </c>
      <c r="D30" s="9" t="n">
        <f aca="false">IF(K30="NE",0,IF(J30="Pasivní",ROUNDUP(C30*$C$3*(1+$C$4),0)+$C$5,C30*$C$3))</f>
        <v>10</v>
      </c>
      <c r="E30" s="7" t="s">
        <v>134</v>
      </c>
      <c r="F30" s="7" t="s">
        <v>135</v>
      </c>
      <c r="G30" s="7" t="s">
        <v>136</v>
      </c>
      <c r="H30" s="7" t="s">
        <v>137</v>
      </c>
      <c r="I30" s="8" t="s">
        <v>138</v>
      </c>
      <c r="J30" s="7" t="s">
        <v>116</v>
      </c>
      <c r="K30" s="7" t="s">
        <v>27</v>
      </c>
      <c r="L30" s="10"/>
      <c r="M30" s="11" t="str">
        <f aca="false">IF(L30="","",D30*L30)</f>
        <v/>
      </c>
      <c r="N30" s="8" t="s">
        <v>139</v>
      </c>
    </row>
    <row r="31" customFormat="false" ht="15" hidden="false" customHeight="false" outlineLevel="0" collapsed="false">
      <c r="A31" s="7" t="n">
        <v>24</v>
      </c>
      <c r="B31" s="8" t="s">
        <v>140</v>
      </c>
      <c r="C31" s="7" t="n">
        <v>1</v>
      </c>
      <c r="D31" s="9" t="n">
        <f aca="false">IF(K31="NE",0,IF(J31="Pasivní",ROUNDUP(C31*$C$3*(1+$C$4),0)+$C$5,C31*$C$3))</f>
        <v>8</v>
      </c>
      <c r="E31" s="7" t="s">
        <v>141</v>
      </c>
      <c r="F31" s="7" t="s">
        <v>112</v>
      </c>
      <c r="G31" s="7" t="s">
        <v>142</v>
      </c>
      <c r="H31" s="7" t="s">
        <v>143</v>
      </c>
      <c r="I31" s="8" t="s">
        <v>144</v>
      </c>
      <c r="J31" s="7" t="s">
        <v>116</v>
      </c>
      <c r="K31" s="7" t="s">
        <v>27</v>
      </c>
      <c r="L31" s="10"/>
      <c r="M31" s="11" t="str">
        <f aca="false">IF(L31="","",D31*L31)</f>
        <v/>
      </c>
      <c r="N31" s="8"/>
    </row>
    <row r="32" customFormat="false" ht="15" hidden="false" customHeight="false" outlineLevel="0" collapsed="false">
      <c r="A32" s="7" t="n">
        <v>25</v>
      </c>
      <c r="B32" s="8" t="s">
        <v>145</v>
      </c>
      <c r="C32" s="7" t="n">
        <v>5</v>
      </c>
      <c r="D32" s="9" t="n">
        <f aca="false">IF(K32="NE",0,IF(J32="Pasivní",ROUNDUP(C32*$C$3*(1+$C$4),0)+$C$5,C32*$C$3))</f>
        <v>16</v>
      </c>
      <c r="E32" s="7" t="s">
        <v>146</v>
      </c>
      <c r="F32" s="7" t="s">
        <v>147</v>
      </c>
      <c r="G32" s="7" t="s">
        <v>148</v>
      </c>
      <c r="H32" s="7" t="s">
        <v>149</v>
      </c>
      <c r="I32" s="8" t="s">
        <v>150</v>
      </c>
      <c r="J32" s="7" t="s">
        <v>116</v>
      </c>
      <c r="K32" s="7" t="s">
        <v>27</v>
      </c>
      <c r="L32" s="10"/>
      <c r="M32" s="11" t="str">
        <f aca="false">IF(L32="","",D32*L32)</f>
        <v/>
      </c>
      <c r="N32" s="8"/>
    </row>
    <row r="33" customFormat="false" ht="39.55" hidden="false" customHeight="false" outlineLevel="0" collapsed="false">
      <c r="A33" s="7" t="n">
        <v>26</v>
      </c>
      <c r="B33" s="8" t="s">
        <v>151</v>
      </c>
      <c r="C33" s="7" t="n">
        <v>28</v>
      </c>
      <c r="D33" s="9" t="n">
        <f aca="false">IF(K33="NE",0,IF(J33="Pasivní",ROUNDUP(C33*$C$3*(1+$C$4),0)+$C$5,C33*$C$3))</f>
        <v>67</v>
      </c>
      <c r="E33" s="7" t="s">
        <v>152</v>
      </c>
      <c r="F33" s="7" t="s">
        <v>147</v>
      </c>
      <c r="G33" s="7" t="s">
        <v>148</v>
      </c>
      <c r="H33" s="7" t="s">
        <v>153</v>
      </c>
      <c r="I33" s="8" t="s">
        <v>154</v>
      </c>
      <c r="J33" s="7" t="s">
        <v>116</v>
      </c>
      <c r="K33" s="7" t="s">
        <v>27</v>
      </c>
      <c r="L33" s="10"/>
      <c r="M33" s="11" t="str">
        <f aca="false">IF(L33="","",D33*L33)</f>
        <v/>
      </c>
      <c r="N33" s="8"/>
    </row>
    <row r="34" customFormat="false" ht="26.85" hidden="false" customHeight="false" outlineLevel="0" collapsed="false">
      <c r="A34" s="7" t="n">
        <v>27</v>
      </c>
      <c r="B34" s="8" t="s">
        <v>155</v>
      </c>
      <c r="C34" s="7" t="n">
        <v>17</v>
      </c>
      <c r="D34" s="9" t="n">
        <f aca="false">IF(K34="NE",0,IF(J34="Pasivní",ROUNDUP(C34*$C$3*(1+$C$4),0)+$C$5,C34*$C$3))</f>
        <v>43</v>
      </c>
      <c r="E34" s="7" t="s">
        <v>156</v>
      </c>
      <c r="F34" s="7" t="s">
        <v>147</v>
      </c>
      <c r="G34" s="7" t="s">
        <v>148</v>
      </c>
      <c r="H34" s="7" t="s">
        <v>157</v>
      </c>
      <c r="I34" s="8" t="s">
        <v>158</v>
      </c>
      <c r="J34" s="7" t="s">
        <v>116</v>
      </c>
      <c r="K34" s="7" t="s">
        <v>27</v>
      </c>
      <c r="L34" s="10"/>
      <c r="M34" s="11" t="str">
        <f aca="false">IF(L34="","",D34*L34)</f>
        <v/>
      </c>
      <c r="N34" s="8"/>
    </row>
    <row r="35" customFormat="false" ht="15" hidden="false" customHeight="false" outlineLevel="0" collapsed="false">
      <c r="A35" s="7" t="n">
        <v>28</v>
      </c>
      <c r="B35" s="8" t="s">
        <v>159</v>
      </c>
      <c r="C35" s="7" t="n">
        <v>1</v>
      </c>
      <c r="D35" s="9" t="n">
        <f aca="false">IF(K35="NE",0,IF(J35="Pasivní",ROUNDUP(C35*$C$3*(1+$C$4),0)+$C$5,C35*$C$3))</f>
        <v>8</v>
      </c>
      <c r="E35" s="7" t="s">
        <v>160</v>
      </c>
      <c r="F35" s="7" t="s">
        <v>147</v>
      </c>
      <c r="G35" s="7" t="s">
        <v>148</v>
      </c>
      <c r="H35" s="7" t="s">
        <v>161</v>
      </c>
      <c r="I35" s="8" t="s">
        <v>162</v>
      </c>
      <c r="J35" s="7" t="s">
        <v>116</v>
      </c>
      <c r="K35" s="7" t="s">
        <v>27</v>
      </c>
      <c r="L35" s="10"/>
      <c r="M35" s="11" t="str">
        <f aca="false">IF(L35="","",D35*L35)</f>
        <v/>
      </c>
      <c r="N35" s="8"/>
    </row>
    <row r="36" customFormat="false" ht="15" hidden="false" customHeight="false" outlineLevel="0" collapsed="false">
      <c r="A36" s="7" t="n">
        <v>29</v>
      </c>
      <c r="B36" s="8" t="s">
        <v>163</v>
      </c>
      <c r="C36" s="7" t="n">
        <v>1</v>
      </c>
      <c r="D36" s="9" t="n">
        <f aca="false">IF(K36="NE",0,IF(J36="Pasivní",ROUNDUP(C36*$C$3*(1+$C$4),0)+$C$5,C36*$C$3))</f>
        <v>8</v>
      </c>
      <c r="E36" s="7" t="s">
        <v>164</v>
      </c>
      <c r="F36" s="7" t="s">
        <v>147</v>
      </c>
      <c r="G36" s="7" t="s">
        <v>148</v>
      </c>
      <c r="H36" s="7" t="s">
        <v>165</v>
      </c>
      <c r="I36" s="8" t="s">
        <v>166</v>
      </c>
      <c r="J36" s="7" t="s">
        <v>116</v>
      </c>
      <c r="K36" s="7" t="s">
        <v>27</v>
      </c>
      <c r="L36" s="10"/>
      <c r="M36" s="11" t="str">
        <f aca="false">IF(L36="","",D36*L36)</f>
        <v/>
      </c>
      <c r="N36" s="8"/>
    </row>
    <row r="37" customFormat="false" ht="15" hidden="false" customHeight="false" outlineLevel="0" collapsed="false">
      <c r="A37" s="7" t="n">
        <v>30</v>
      </c>
      <c r="B37" s="8" t="s">
        <v>167</v>
      </c>
      <c r="C37" s="7" t="n">
        <v>1</v>
      </c>
      <c r="D37" s="9" t="n">
        <f aca="false">IF(K37="NE",0,IF(J37="Pasivní",ROUNDUP(C37*$C$3*(1+$C$4),0)+$C$5,C37*$C$3))</f>
        <v>8</v>
      </c>
      <c r="E37" s="7" t="s">
        <v>168</v>
      </c>
      <c r="F37" s="7" t="s">
        <v>147</v>
      </c>
      <c r="G37" s="7" t="s">
        <v>148</v>
      </c>
      <c r="H37" s="7" t="s">
        <v>169</v>
      </c>
      <c r="I37" s="8" t="s">
        <v>170</v>
      </c>
      <c r="J37" s="7" t="s">
        <v>116</v>
      </c>
      <c r="K37" s="7" t="s">
        <v>27</v>
      </c>
      <c r="L37" s="10"/>
      <c r="M37" s="11" t="str">
        <f aca="false">IF(L37="","",D37*L37)</f>
        <v/>
      </c>
      <c r="N37" s="8"/>
    </row>
    <row r="38" customFormat="false" ht="15" hidden="false" customHeight="false" outlineLevel="0" collapsed="false">
      <c r="A38" s="7" t="n">
        <v>31</v>
      </c>
      <c r="B38" s="8" t="s">
        <v>171</v>
      </c>
      <c r="C38" s="7" t="n">
        <v>1</v>
      </c>
      <c r="D38" s="9" t="n">
        <f aca="false">IF(K38="NE",0,IF(J38="Pasivní",ROUNDUP(C38*$C$3*(1+$C$4),0)+$C$5,C38*$C$3))</f>
        <v>8</v>
      </c>
      <c r="E38" s="7" t="s">
        <v>172</v>
      </c>
      <c r="F38" s="7" t="s">
        <v>147</v>
      </c>
      <c r="G38" s="7" t="s">
        <v>148</v>
      </c>
      <c r="H38" s="7" t="s">
        <v>173</v>
      </c>
      <c r="I38" s="8" t="s">
        <v>174</v>
      </c>
      <c r="J38" s="7" t="s">
        <v>116</v>
      </c>
      <c r="K38" s="7" t="s">
        <v>27</v>
      </c>
      <c r="L38" s="10"/>
      <c r="M38" s="11" t="str">
        <f aca="false">IF(L38="","",D38*L38)</f>
        <v/>
      </c>
      <c r="N38" s="8"/>
    </row>
    <row r="39" customFormat="false" ht="15" hidden="false" customHeight="false" outlineLevel="0" collapsed="false">
      <c r="A39" s="7" t="n">
        <v>32</v>
      </c>
      <c r="B39" s="8" t="s">
        <v>175</v>
      </c>
      <c r="C39" s="7" t="n">
        <v>8</v>
      </c>
      <c r="D39" s="9" t="n">
        <f aca="false">IF(K39="NE",0,IF(J39="Pasivní",ROUNDUP(C39*$C$3*(1+$C$4),0)+$C$5,C39*$C$3))</f>
        <v>23</v>
      </c>
      <c r="E39" s="7" t="s">
        <v>176</v>
      </c>
      <c r="F39" s="7" t="s">
        <v>147</v>
      </c>
      <c r="G39" s="7" t="s">
        <v>148</v>
      </c>
      <c r="H39" s="7" t="s">
        <v>177</v>
      </c>
      <c r="I39" s="8" t="s">
        <v>178</v>
      </c>
      <c r="J39" s="7" t="s">
        <v>116</v>
      </c>
      <c r="K39" s="7" t="s">
        <v>27</v>
      </c>
      <c r="L39" s="10"/>
      <c r="M39" s="11" t="str">
        <f aca="false">IF(L39="","",D39*L39)</f>
        <v/>
      </c>
      <c r="N39" s="8"/>
    </row>
    <row r="40" customFormat="false" ht="15" hidden="false" customHeight="false" outlineLevel="0" collapsed="false">
      <c r="A40" s="7" t="n">
        <v>33</v>
      </c>
      <c r="B40" s="8" t="s">
        <v>179</v>
      </c>
      <c r="C40" s="7" t="n">
        <v>5</v>
      </c>
      <c r="D40" s="9" t="n">
        <f aca="false">IF(K40="NE",0,IF(J40="Pasivní",ROUNDUP(C40*$C$3*(1+$C$4),0)+$C$5,C40*$C$3))</f>
        <v>16</v>
      </c>
      <c r="E40" s="7" t="s">
        <v>180</v>
      </c>
      <c r="F40" s="7" t="s">
        <v>147</v>
      </c>
      <c r="G40" s="7" t="s">
        <v>148</v>
      </c>
      <c r="H40" s="7" t="s">
        <v>181</v>
      </c>
      <c r="I40" s="8" t="s">
        <v>182</v>
      </c>
      <c r="J40" s="7" t="s">
        <v>116</v>
      </c>
      <c r="K40" s="7" t="s">
        <v>27</v>
      </c>
      <c r="L40" s="10"/>
      <c r="M40" s="11" t="str">
        <f aca="false">IF(L40="","",D40*L40)</f>
        <v/>
      </c>
      <c r="N40" s="8"/>
    </row>
    <row r="41" customFormat="false" ht="15" hidden="false" customHeight="false" outlineLevel="0" collapsed="false">
      <c r="A41" s="7" t="n">
        <v>34</v>
      </c>
      <c r="B41" s="8" t="s">
        <v>183</v>
      </c>
      <c r="C41" s="7" t="n">
        <v>8</v>
      </c>
      <c r="D41" s="9" t="n">
        <f aca="false">IF(K41="NE",0,IF(J41="Pasivní",ROUNDUP(C41*$C$3*(1+$C$4),0)+$C$5,C41*$C$3))</f>
        <v>23</v>
      </c>
      <c r="E41" s="7" t="s">
        <v>184</v>
      </c>
      <c r="F41" s="7" t="s">
        <v>147</v>
      </c>
      <c r="G41" s="7" t="s">
        <v>148</v>
      </c>
      <c r="H41" s="7" t="s">
        <v>185</v>
      </c>
      <c r="I41" s="8" t="s">
        <v>186</v>
      </c>
      <c r="J41" s="7" t="s">
        <v>116</v>
      </c>
      <c r="K41" s="7" t="s">
        <v>27</v>
      </c>
      <c r="L41" s="10"/>
      <c r="M41" s="11" t="str">
        <f aca="false">IF(L41="","",D41*L41)</f>
        <v/>
      </c>
      <c r="N41" s="8"/>
    </row>
    <row r="42" customFormat="false" ht="26.85" hidden="false" customHeight="false" outlineLevel="0" collapsed="false">
      <c r="A42" s="7" t="n">
        <v>35</v>
      </c>
      <c r="B42" s="8" t="s">
        <v>187</v>
      </c>
      <c r="C42" s="7" t="n">
        <v>17</v>
      </c>
      <c r="D42" s="9" t="n">
        <f aca="false">IF(K42="NE",0,IF(J42="Pasivní",ROUNDUP(C42*$C$3*(1+$C$4),0)+$C$5,C42*$C$3))</f>
        <v>43</v>
      </c>
      <c r="E42" s="7" t="s">
        <v>188</v>
      </c>
      <c r="F42" s="7" t="s">
        <v>147</v>
      </c>
      <c r="G42" s="7" t="s">
        <v>148</v>
      </c>
      <c r="H42" s="7" t="s">
        <v>189</v>
      </c>
      <c r="I42" s="8" t="s">
        <v>190</v>
      </c>
      <c r="J42" s="7" t="s">
        <v>116</v>
      </c>
      <c r="K42" s="7" t="s">
        <v>27</v>
      </c>
      <c r="L42" s="10"/>
      <c r="M42" s="11" t="str">
        <f aca="false">IF(L42="","",D42*L42)</f>
        <v/>
      </c>
      <c r="N42" s="8"/>
    </row>
    <row r="43" customFormat="false" ht="15" hidden="false" customHeight="false" outlineLevel="0" collapsed="false">
      <c r="A43" s="7" t="n">
        <v>36</v>
      </c>
      <c r="B43" s="8" t="s">
        <v>191</v>
      </c>
      <c r="C43" s="7" t="n">
        <v>1</v>
      </c>
      <c r="D43" s="9" t="n">
        <f aca="false">IF(K43="NE",0,IF(J43="Pasivní",ROUNDUP(C43*$C$3*(1+$C$4),0)+$C$5,C43*$C$3))</f>
        <v>8</v>
      </c>
      <c r="E43" s="7" t="s">
        <v>192</v>
      </c>
      <c r="F43" s="7" t="s">
        <v>147</v>
      </c>
      <c r="G43" s="7" t="s">
        <v>148</v>
      </c>
      <c r="H43" s="7" t="s">
        <v>193</v>
      </c>
      <c r="I43" s="8" t="s">
        <v>194</v>
      </c>
      <c r="J43" s="7" t="s">
        <v>116</v>
      </c>
      <c r="K43" s="7" t="s">
        <v>27</v>
      </c>
      <c r="L43" s="10"/>
      <c r="M43" s="11" t="str">
        <f aca="false">IF(L43="","",D43*L43)</f>
        <v/>
      </c>
      <c r="N43" s="8"/>
    </row>
    <row r="44" customFormat="false" ht="15" hidden="false" customHeight="false" outlineLevel="0" collapsed="false">
      <c r="A44" s="7" t="n">
        <v>37</v>
      </c>
      <c r="B44" s="8" t="s">
        <v>195</v>
      </c>
      <c r="C44" s="7" t="n">
        <v>1</v>
      </c>
      <c r="D44" s="9" t="n">
        <f aca="false">IF(K44="NE",0,IF(J44="Pasivní",ROUNDUP(C44*$C$3*(1+$C$4),0)+$C$5,C44*$C$3))</f>
        <v>8</v>
      </c>
      <c r="E44" s="7" t="s">
        <v>196</v>
      </c>
      <c r="F44" s="7" t="s">
        <v>147</v>
      </c>
      <c r="G44" s="7" t="s">
        <v>148</v>
      </c>
      <c r="H44" s="7" t="s">
        <v>197</v>
      </c>
      <c r="I44" s="8" t="s">
        <v>198</v>
      </c>
      <c r="J44" s="7" t="s">
        <v>116</v>
      </c>
      <c r="K44" s="7" t="s">
        <v>27</v>
      </c>
      <c r="L44" s="10"/>
      <c r="M44" s="11" t="str">
        <f aca="false">IF(L44="","",D44*L44)</f>
        <v/>
      </c>
      <c r="N44" s="8"/>
    </row>
    <row r="45" customFormat="false" ht="15" hidden="false" customHeight="false" outlineLevel="0" collapsed="false">
      <c r="A45" s="7" t="n">
        <v>38</v>
      </c>
      <c r="B45" s="8" t="s">
        <v>199</v>
      </c>
      <c r="C45" s="7" t="n">
        <v>1</v>
      </c>
      <c r="D45" s="9" t="n">
        <f aca="false">IF(K45="NE",0,IF(J45="Pasivní",ROUNDUP(C45*$C$3*(1+$C$4),0)+$C$5,C45*$C$3))</f>
        <v>8</v>
      </c>
      <c r="E45" s="7" t="s">
        <v>200</v>
      </c>
      <c r="F45" s="7" t="s">
        <v>201</v>
      </c>
      <c r="G45" s="7" t="s">
        <v>148</v>
      </c>
      <c r="H45" s="7" t="s">
        <v>202</v>
      </c>
      <c r="I45" s="8" t="s">
        <v>203</v>
      </c>
      <c r="J45" s="7" t="s">
        <v>116</v>
      </c>
      <c r="K45" s="7" t="s">
        <v>27</v>
      </c>
      <c r="L45" s="10"/>
      <c r="M45" s="11" t="str">
        <f aca="false">IF(L45="","",D45*L45)</f>
        <v/>
      </c>
      <c r="N45" s="8"/>
    </row>
    <row r="46" customFormat="false" ht="15" hidden="false" customHeight="false" outlineLevel="0" collapsed="false">
      <c r="A46" s="7" t="n">
        <v>39</v>
      </c>
      <c r="B46" s="8" t="s">
        <v>204</v>
      </c>
      <c r="C46" s="7" t="n">
        <v>1</v>
      </c>
      <c r="D46" s="9" t="n">
        <f aca="false">IF(K46="NE",0,IF(J46="Pasivní",ROUNDUP(C46*$C$3*(1+$C$4),0)+$C$5,C46*$C$3))</f>
        <v>8</v>
      </c>
      <c r="E46" s="7" t="s">
        <v>205</v>
      </c>
      <c r="F46" s="7" t="s">
        <v>206</v>
      </c>
      <c r="G46" s="7" t="s">
        <v>207</v>
      </c>
      <c r="H46" s="7" t="s">
        <v>208</v>
      </c>
      <c r="I46" s="8" t="s">
        <v>209</v>
      </c>
      <c r="J46" s="7" t="s">
        <v>116</v>
      </c>
      <c r="K46" s="7" t="s">
        <v>27</v>
      </c>
      <c r="L46" s="10"/>
      <c r="M46" s="11" t="str">
        <f aca="false">IF(L46="","",D46*L46)</f>
        <v/>
      </c>
      <c r="N46" s="8"/>
    </row>
    <row r="47" customFormat="false" ht="15" hidden="false" customHeight="false" outlineLevel="0" collapsed="false">
      <c r="A47" s="7" t="n">
        <v>40</v>
      </c>
      <c r="B47" s="8" t="s">
        <v>210</v>
      </c>
      <c r="C47" s="7" t="n">
        <v>8</v>
      </c>
      <c r="D47" s="9" t="n">
        <f aca="false">IF(K47="NE",0,IF(J47="Pasivní",ROUNDUP(C47*$C$3*(1+$C$4),0)+$C$5,C47*$C$3))</f>
        <v>0</v>
      </c>
      <c r="E47" s="7" t="s">
        <v>211</v>
      </c>
      <c r="F47" s="7" t="s">
        <v>112</v>
      </c>
      <c r="G47" s="7" t="s">
        <v>113</v>
      </c>
      <c r="H47" s="7" t="s">
        <v>212</v>
      </c>
      <c r="I47" s="8" t="s">
        <v>213</v>
      </c>
      <c r="J47" s="7" t="s">
        <v>116</v>
      </c>
      <c r="K47" s="7" t="s">
        <v>214</v>
      </c>
      <c r="L47" s="10"/>
      <c r="M47" s="11" t="str">
        <f aca="false">IF(L47="","",D47*L47)</f>
        <v/>
      </c>
      <c r="N47" s="8" t="s">
        <v>215</v>
      </c>
    </row>
    <row r="49" customFormat="false" ht="15" hidden="false" customHeight="false" outlineLevel="0" collapsed="false">
      <c r="A49" s="12" t="s">
        <v>216</v>
      </c>
      <c r="B49" s="2" t="s">
        <v>217</v>
      </c>
      <c r="C49" s="12" t="n">
        <f aca="false">SUM(C8:C47)</f>
        <v>219</v>
      </c>
      <c r="D49" s="12" t="n">
        <f aca="false">SUM(D8:D47)</f>
        <v>573</v>
      </c>
      <c r="M49" s="13" t="n">
        <f aca="false">SUM(M8:M47)</f>
        <v>0</v>
      </c>
    </row>
    <row r="51" customFormat="false" ht="15" hidden="false" customHeight="false" outlineLevel="0" collapsed="false">
      <c r="A51" s="2" t="s">
        <v>218</v>
      </c>
    </row>
    <row r="52" customFormat="false" ht="15" hidden="false" customHeight="false" outlineLevel="0" collapsed="false">
      <c r="A52" s="2" t="s">
        <v>219</v>
      </c>
    </row>
    <row r="53" customFormat="false" ht="15" hidden="false" customHeight="false" outlineLevel="0" collapsed="false">
      <c r="A53" s="2" t="s">
        <v>220</v>
      </c>
    </row>
  </sheetData>
  <autoFilter ref="A7:N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221</v>
      </c>
    </row>
    <row r="3" customFormat="false" ht="15" hidden="false" customHeight="false" outlineLevel="0" collapsed="false">
      <c r="A3" s="12" t="s">
        <v>222</v>
      </c>
      <c r="B3" s="14" t="s">
        <v>223</v>
      </c>
    </row>
    <row r="4" customFormat="false" ht="15" hidden="false" customHeight="false" outlineLevel="0" collapsed="false">
      <c r="A4" s="12" t="s">
        <v>224</v>
      </c>
      <c r="B4" s="14" t="s">
        <v>225</v>
      </c>
    </row>
    <row r="5" customFormat="false" ht="15" hidden="false" customHeight="false" outlineLevel="0" collapsed="false">
      <c r="A5" s="12" t="s">
        <v>226</v>
      </c>
      <c r="B5" s="14" t="s">
        <v>227</v>
      </c>
    </row>
    <row r="6" customFormat="false" ht="15" hidden="false" customHeight="false" outlineLevel="0" collapsed="false">
      <c r="A6" s="12" t="s">
        <v>228</v>
      </c>
      <c r="B6" s="14" t="s">
        <v>229</v>
      </c>
    </row>
    <row r="7" customFormat="false" ht="15" hidden="false" customHeight="false" outlineLevel="0" collapsed="false">
      <c r="A7" s="12" t="s">
        <v>230</v>
      </c>
      <c r="B7" s="14" t="s">
        <v>231</v>
      </c>
    </row>
    <row r="8" customFormat="false" ht="15" hidden="false" customHeight="false" outlineLevel="0" collapsed="false">
      <c r="A8" s="12" t="s">
        <v>232</v>
      </c>
      <c r="B8" s="14" t="s">
        <v>233</v>
      </c>
    </row>
    <row r="9" customFormat="false" ht="15" hidden="false" customHeight="false" outlineLevel="0" collapsed="false">
      <c r="A9" s="12" t="s">
        <v>234</v>
      </c>
      <c r="B9" s="14" t="s">
        <v>235</v>
      </c>
    </row>
    <row r="10" customFormat="false" ht="15" hidden="false" customHeight="false" outlineLevel="0" collapsed="false">
      <c r="A10" s="12" t="s">
        <v>236</v>
      </c>
      <c r="B10" s="14" t="s">
        <v>237</v>
      </c>
    </row>
    <row r="11" customFormat="false" ht="15" hidden="false" customHeight="false" outlineLevel="0" collapsed="false">
      <c r="A11" s="12" t="s">
        <v>238</v>
      </c>
      <c r="B11" s="14" t="s">
        <v>239</v>
      </c>
    </row>
    <row r="12" customFormat="false" ht="15" hidden="false" customHeight="false" outlineLevel="0" collapsed="false">
      <c r="A12" s="12" t="s">
        <v>240</v>
      </c>
      <c r="B12" s="14" t="s">
        <v>241</v>
      </c>
    </row>
    <row r="13" customFormat="false" ht="15" hidden="false" customHeight="false" outlineLevel="0" collapsed="false">
      <c r="A13" s="12" t="s">
        <v>242</v>
      </c>
      <c r="B13" s="15" t="n">
        <f aca="false">Objednávka!C3</f>
        <v>2</v>
      </c>
    </row>
    <row r="14" customFormat="false" ht="15" hidden="false" customHeight="false" outlineLevel="0" collapsed="false">
      <c r="A14" s="12" t="s">
        <v>19</v>
      </c>
      <c r="B14" s="14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5" min="4" style="0" width="60"/>
  </cols>
  <sheetData>
    <row r="1" customFormat="false" ht="17.35" hidden="false" customHeight="false" outlineLevel="0" collapsed="false">
      <c r="A1" s="1" t="s">
        <v>244</v>
      </c>
    </row>
    <row r="3" customFormat="false" ht="15" hidden="false" customHeight="false" outlineLevel="0" collapsed="false">
      <c r="A3" s="16" t="s">
        <v>245</v>
      </c>
      <c r="B3" s="16" t="s">
        <v>8</v>
      </c>
      <c r="C3" s="16" t="s">
        <v>9</v>
      </c>
      <c r="D3" s="16" t="s">
        <v>246</v>
      </c>
      <c r="E3" s="16" t="s">
        <v>19</v>
      </c>
    </row>
    <row r="4" customFormat="false" ht="15" hidden="false" customHeight="false" outlineLevel="0" collapsed="false">
      <c r="A4" s="8" t="s">
        <v>247</v>
      </c>
      <c r="B4" s="8" t="n">
        <v>3</v>
      </c>
      <c r="C4" s="8" t="n">
        <f aca="false">B4*Objednávka!$C$3</f>
        <v>6</v>
      </c>
      <c r="D4" s="8" t="s">
        <v>248</v>
      </c>
      <c r="E4" s="8" t="s">
        <v>249</v>
      </c>
    </row>
    <row r="5" customFormat="false" ht="15" hidden="false" customHeight="false" outlineLevel="0" collapsed="false">
      <c r="A5" s="8" t="s">
        <v>250</v>
      </c>
      <c r="B5" s="8" t="n">
        <v>1</v>
      </c>
      <c r="C5" s="8" t="n">
        <f aca="false">B5*Objednávka!$C$3</f>
        <v>2</v>
      </c>
      <c r="D5" s="8" t="s">
        <v>251</v>
      </c>
      <c r="E5" s="8" t="s">
        <v>252</v>
      </c>
    </row>
    <row r="6" customFormat="false" ht="15" hidden="false" customHeight="false" outlineLevel="0" collapsed="false">
      <c r="A6" s="8" t="s">
        <v>253</v>
      </c>
      <c r="B6" s="8" t="n">
        <v>1</v>
      </c>
      <c r="C6" s="8" t="n">
        <f aca="false">B6*Objednávka!$C$3</f>
        <v>2</v>
      </c>
      <c r="D6" s="8" t="s">
        <v>254</v>
      </c>
      <c r="E6" s="8" t="s">
        <v>255</v>
      </c>
    </row>
    <row r="7" customFormat="false" ht="15" hidden="false" customHeight="false" outlineLevel="0" collapsed="false">
      <c r="A7" s="8" t="s">
        <v>256</v>
      </c>
      <c r="B7" s="8" t="n">
        <v>1</v>
      </c>
      <c r="C7" s="8" t="n">
        <f aca="false">B7*Objednávka!$C$3</f>
        <v>2</v>
      </c>
      <c r="D7" s="8" t="s">
        <v>257</v>
      </c>
      <c r="E7" s="8" t="s">
        <v>258</v>
      </c>
    </row>
    <row r="8" customFormat="false" ht="26.85" hidden="false" customHeight="false" outlineLevel="0" collapsed="false">
      <c r="A8" s="8" t="s">
        <v>259</v>
      </c>
      <c r="B8" s="8" t="n">
        <v>1</v>
      </c>
      <c r="C8" s="8" t="n">
        <f aca="false">B8*Objednávka!$C$3</f>
        <v>2</v>
      </c>
      <c r="D8" s="8" t="s">
        <v>260</v>
      </c>
      <c r="E8" s="8" t="s">
        <v>261</v>
      </c>
    </row>
    <row r="9" customFormat="false" ht="15" hidden="false" customHeight="false" outlineLevel="0" collapsed="false">
      <c r="A9" s="8" t="s">
        <v>262</v>
      </c>
      <c r="B9" s="8" t="n">
        <v>4</v>
      </c>
      <c r="C9" s="8" t="n">
        <f aca="false">B9*Objednávka!$C$3</f>
        <v>8</v>
      </c>
      <c r="D9" s="8" t="s">
        <v>263</v>
      </c>
      <c r="E9" s="8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2026-09-24T20:56:58Z</dcterms:created>
  <dc:creator>openpyxl</dc:creator>
  <dc:description/>
  <dc:language>en-US</dc:language>
  <cp:lastModifiedBy/>
  <dcterms:modified xsi:type="dcterms:W3CDTF">2026-09-24T20:56:58Z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