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bjednávka" sheetId="1" state="visible" r:id="rId3"/>
    <sheet name="Osazení" sheetId="2" state="visible" r:id="rId4"/>
  </sheets>
  <definedNames>
    <definedName function="false" hidden="true" localSheetId="0" name="_xlnm._FilterDatabase" vbProcedure="false">Objednávka!$A$5:$I$44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" authorId="0">
      <text>
        <r>
          <rPr>
            <sz val="10"/>
            <rFont val="Arial"/>
            <family val="2"/>
          </rPr>
          <t xml:space="preserve">Zadejte, kolik desek budete osazovat. Sloupec 'Ks celkem' se přepočítá.</t>
        </r>
      </text>
    </comment>
    <comment ref="G2" authorId="0">
      <text>
        <r>
          <rPr>
            <sz val="10"/>
            <rFont val="Arial"/>
            <family val="2"/>
          </rPr>
          <t xml:space="preserve">Přičte se jen k rezistorům, diodám a kondenzátorům (snadno se ztratí nebo zničí).</t>
        </r>
      </text>
    </comment>
  </commentList>
</comments>
</file>

<file path=xl/sharedStrings.xml><?xml version="1.0" encoding="utf-8"?>
<sst xmlns="http://schemas.openxmlformats.org/spreadsheetml/2006/main" count="558" uniqueCount="286">
  <si>
    <t xml:space="preserve">AW4 shield v0.3 (THT, 100×100 mm) – seznam součástek k objednání</t>
  </si>
  <si>
    <t xml:space="preserve">Počet desek:</t>
  </si>
  <si>
    <t xml:space="preserve">Rezerva navíc (ks na položku, pro drobné díly):</t>
  </si>
  <si>
    <t xml:space="preserve">Žluté buňky = vstupy (modré číslo). Ostatní se počítají. Příklady dílů jsou orientační – jde o běžné typy, které se dají koupit v GM, TME, Mouser apod.; LCSC/TME kódy nejsou ověřené.</t>
  </si>
  <si>
    <t xml:space="preserve">Pol.</t>
  </si>
  <si>
    <t xml:space="preserve">Skupina</t>
  </si>
  <si>
    <t xml:space="preserve">Součástka</t>
  </si>
  <si>
    <t xml:space="preserve">Specifikace</t>
  </si>
  <si>
    <t xml:space="preserve">Příklad dílu (výrobce / typ)</t>
  </si>
  <si>
    <t xml:space="preserve">Ks / deska</t>
  </si>
  <si>
    <t xml:space="preserve">Ks celkem</t>
  </si>
  <si>
    <t xml:space="preserve">Označení na desce</t>
  </si>
  <si>
    <t xml:space="preserve">Koupeno ✓</t>
  </si>
  <si>
    <t xml:space="preserve">Rezistory</t>
  </si>
  <si>
    <t xml:space="preserve">Rezistor 0 Ω (propojka)</t>
  </si>
  <si>
    <t xml:space="preserve">0,25 W, DIN 0207 – spojuje PGND a GND (lze nahradit drátkem)</t>
  </si>
  <si>
    <t xml:space="preserve">libovolný výrobce</t>
  </si>
  <si>
    <t xml:space="preserve">R2</t>
  </si>
  <si>
    <t xml:space="preserve">Rezistor 100 Ω</t>
  </si>
  <si>
    <t xml:space="preserve">0,25 W, 1 %, DIN 0207</t>
  </si>
  <si>
    <t xml:space="preserve">R11 R12</t>
  </si>
  <si>
    <t xml:space="preserve">Rezistor 220 Ω</t>
  </si>
  <si>
    <t xml:space="preserve">R14</t>
  </si>
  <si>
    <t xml:space="preserve">Rezistor 330 Ω</t>
  </si>
  <si>
    <t xml:space="preserve">0,25 W, 1 %, metalizovaný, DIN 0207 (montáž nastojato, rozteč 2,54)</t>
  </si>
  <si>
    <t xml:space="preserve">R13 R17 R20 R23</t>
  </si>
  <si>
    <t xml:space="preserve">Rezistor 1 kΩ</t>
  </si>
  <si>
    <t xml:space="preserve">R3 R5 R7 R9 R18 R21 R24</t>
  </si>
  <si>
    <t xml:space="preserve">Rezistor 2,2 kΩ</t>
  </si>
  <si>
    <t xml:space="preserve">R16</t>
  </si>
  <si>
    <t xml:space="preserve">Rezistor 10 kΩ</t>
  </si>
  <si>
    <t xml:space="preserve">R4 R6 R8 R10 R15 R19 R22 R25</t>
  </si>
  <si>
    <t xml:space="preserve">Rezistor 100 kΩ</t>
  </si>
  <si>
    <t xml:space="preserve">R1</t>
  </si>
  <si>
    <t xml:space="preserve">Diody</t>
  </si>
  <si>
    <t xml:space="preserve">Dioda 1N4007</t>
  </si>
  <si>
    <t xml:space="preserve">1 A / 1000 V, DO-41 – flyback solenoidů</t>
  </si>
  <si>
    <t xml:space="preserve">1N4007</t>
  </si>
  <si>
    <t xml:space="preserve">D12 D14 D16</t>
  </si>
  <si>
    <t xml:space="preserve">Dioda 1N4148</t>
  </si>
  <si>
    <t xml:space="preserve">DO-35</t>
  </si>
  <si>
    <t xml:space="preserve">1N4148</t>
  </si>
  <si>
    <t xml:space="preserve">D9</t>
  </si>
  <si>
    <t xml:space="preserve">Transil (TVS) 27 V</t>
  </si>
  <si>
    <t xml:space="preserve">600 W, jednosměrný, DO-15</t>
  </si>
  <si>
    <t xml:space="preserve">P6KE27A</t>
  </si>
  <si>
    <t xml:space="preserve">D2</t>
  </si>
  <si>
    <t xml:space="preserve">Zenerova dioda 12 V</t>
  </si>
  <si>
    <t xml:space="preserve">0,5 W, DO-35</t>
  </si>
  <si>
    <t xml:space="preserve">BZX55C12 (nebo BZX79C12)</t>
  </si>
  <si>
    <t xml:space="preserve">D1</t>
  </si>
  <si>
    <t xml:space="preserve">Zenerova dioda 15 V</t>
  </si>
  <si>
    <t xml:space="preserve">BZX55C15 (nebo BZX79C15)</t>
  </si>
  <si>
    <t xml:space="preserve">D11 D13 D15</t>
  </si>
  <si>
    <t xml:space="preserve">Zenerova dioda 5,6 V</t>
  </si>
  <si>
    <t xml:space="preserve">0,5 W, DO-35 – ochrana vstupů</t>
  </si>
  <si>
    <t xml:space="preserve">BZX55C5V6 (nebo BZX79C5V6)</t>
  </si>
  <si>
    <t xml:space="preserve">D3 D4 D5 D6 D7 D8</t>
  </si>
  <si>
    <t xml:space="preserve">Kondenzátory</t>
  </si>
  <si>
    <t xml:space="preserve">Elektrolyt 10 µF / 25 V</t>
  </si>
  <si>
    <t xml:space="preserve">Ø5 mm, rozteč 2,0 mm, 105 °C</t>
  </si>
  <si>
    <t xml:space="preserve">C3</t>
  </si>
  <si>
    <t xml:space="preserve">Elektrolyt 100 µF / 10 V (i 16 V)</t>
  </si>
  <si>
    <t xml:space="preserve">Ø6,3 mm, rozteč 2,5 mm, 105 °C</t>
  </si>
  <si>
    <t xml:space="preserve">C9</t>
  </si>
  <si>
    <t xml:space="preserve">Elektrolyt 47 µF / 10 V (i 16 V)</t>
  </si>
  <si>
    <t xml:space="preserve">C4</t>
  </si>
  <si>
    <t xml:space="preserve">Elektrolyt 470 µF / 25 V</t>
  </si>
  <si>
    <t xml:space="preserve">Ø10 mm, rozteč 5 mm, 105 °C, low-ESR</t>
  </si>
  <si>
    <t xml:space="preserve">např. Panasonic řada FR</t>
  </si>
  <si>
    <t xml:space="preserve">C1</t>
  </si>
  <si>
    <t xml:space="preserve">Feritová perla</t>
  </si>
  <si>
    <t xml:space="preserve">axiální, ≥ 600 Ω @ 100 MHz, ≥ 1 A (montáž nastojato)</t>
  </si>
  <si>
    <t xml:space="preserve">např. Fair-Rite 2743019447</t>
  </si>
  <si>
    <t xml:space="preserve">L1 L2</t>
  </si>
  <si>
    <t xml:space="preserve">Kondenzátor 100 nF</t>
  </si>
  <si>
    <t xml:space="preserve">keramický, 50 V, X7R, rozteč 2,54 mm</t>
  </si>
  <si>
    <t xml:space="preserve">např. KEMET C320C104K5R5TA</t>
  </si>
  <si>
    <t xml:space="preserve">C2 C5 C6 C7 C8 C10</t>
  </si>
  <si>
    <t xml:space="preserve">Polovodiče</t>
  </si>
  <si>
    <t xml:space="preserve">LED zelená 3 mm</t>
  </si>
  <si>
    <t xml:space="preserve">indikace READY</t>
  </si>
  <si>
    <t xml:space="preserve">libovolná 3 mm</t>
  </si>
  <si>
    <t xml:space="preserve">D10</t>
  </si>
  <si>
    <t xml:space="preserve">Optočlen PC817</t>
  </si>
  <si>
    <t xml:space="preserve">DIP-4</t>
  </si>
  <si>
    <t xml:space="preserve">PC817C (Sharp / Everlight / Lite-On)</t>
  </si>
  <si>
    <t xml:space="preserve">U3 U4 U5 U6</t>
  </si>
  <si>
    <t xml:space="preserve">P-MOSFET IRF4905</t>
  </si>
  <si>
    <t xml:space="preserve">TO-220 – ochrana proti přepólování</t>
  </si>
  <si>
    <t xml:space="preserve">IRF4905PBF (Infineon)</t>
  </si>
  <si>
    <t xml:space="preserve">Q1</t>
  </si>
  <si>
    <t xml:space="preserve">P-MOSFET IRF9540N</t>
  </si>
  <si>
    <t xml:space="preserve">TO-220 – spínání solenoidů</t>
  </si>
  <si>
    <t xml:space="preserve">IRF9540NPBF (Infineon)</t>
  </si>
  <si>
    <t xml:space="preserve">Q3 Q4 Q5</t>
  </si>
  <si>
    <t xml:space="preserve">Spínaný stabilizátor 5 V / 1 A</t>
  </si>
  <si>
    <t xml:space="preserve">formát 7805 (SIP-3), vstup 6,5–36 V</t>
  </si>
  <si>
    <t xml:space="preserve">Traco TSR 1-2450</t>
  </si>
  <si>
    <t xml:space="preserve">U1</t>
  </si>
  <si>
    <t xml:space="preserve">Tranzistor NPN BC337</t>
  </si>
  <si>
    <t xml:space="preserve">TO-92, pinout C-B-E (pad 1 = C)</t>
  </si>
  <si>
    <t xml:space="preserve">BC337-40</t>
  </si>
  <si>
    <t xml:space="preserve">Q2</t>
  </si>
  <si>
    <t xml:space="preserve">Mechanické</t>
  </si>
  <si>
    <t xml:space="preserve">Distanční sloupek M3 + šroub</t>
  </si>
  <si>
    <t xml:space="preserve">pro 4 díry M3 v rozích</t>
  </si>
  <si>
    <t xml:space="preserve">libovolné, např. 10 mm</t>
  </si>
  <si>
    <t xml:space="preserve">H1–H4</t>
  </si>
  <si>
    <t xml:space="preserve">Patice pro pojistku TR5</t>
  </si>
  <si>
    <t xml:space="preserve">rozteč 5,08 mm</t>
  </si>
  <si>
    <t xml:space="preserve">Littelfuse 560 (TR5 patice)</t>
  </si>
  <si>
    <t xml:space="preserve">F1</t>
  </si>
  <si>
    <t xml:space="preserve">Pojistka TR5 5 A, pomalá (T)</t>
  </si>
  <si>
    <t xml:space="preserve">TR5, rozteč 5,08 mm</t>
  </si>
  <si>
    <t xml:space="preserve">Littelfuse řada 372, 5 A T</t>
  </si>
  <si>
    <t xml:space="preserve">do F1</t>
  </si>
  <si>
    <t xml:space="preserve">Relé 12 V SPDT</t>
  </si>
  <si>
    <t xml:space="preserve">kontakty 10 A, cívka 12 V</t>
  </si>
  <si>
    <t xml:space="preserve">Omron G5LE-1 DC12 (pinově kompatibilní: Songle SRD-12VDC-SL-C)</t>
  </si>
  <si>
    <t xml:space="preserve">K1 K2 K3</t>
  </si>
  <si>
    <t xml:space="preserve">Konektory</t>
  </si>
  <si>
    <t xml:space="preserve">Dutinková lišta 1×15 (patice pro Nano)</t>
  </si>
  <si>
    <t xml:space="preserve">rozteč 2,54 mm</t>
  </si>
  <si>
    <t xml:space="preserve">libovolná</t>
  </si>
  <si>
    <t xml:space="preserve">U2 (patice)</t>
  </si>
  <si>
    <t xml:space="preserve">Kabelová část JST-XH 4 pin</t>
  </si>
  <si>
    <t xml:space="preserve">pouzdro + 4 kontakty</t>
  </si>
  <si>
    <t xml:space="preserve">JST XHP-4 + 4× SXH-001T-P0.6</t>
  </si>
  <si>
    <t xml:space="preserve">kabel k displeji</t>
  </si>
  <si>
    <t xml:space="preserve">Kolíková lišta 1×2 + jumper</t>
  </si>
  <si>
    <t xml:space="preserve">libovolná + zkratovací propojka 2,54</t>
  </si>
  <si>
    <t xml:space="preserve">JP1</t>
  </si>
  <si>
    <t xml:space="preserve">Kolíková lišta 1×7</t>
  </si>
  <si>
    <t xml:space="preserve">rozteč 2,54 mm (volitelné – rezerva)</t>
  </si>
  <si>
    <t xml:space="preserve">libovolná (odlomit z 1×40)</t>
  </si>
  <si>
    <t xml:space="preserve">J6</t>
  </si>
  <si>
    <t xml:space="preserve">Konektor JST-XH 4 pin (do DPS)</t>
  </si>
  <si>
    <t xml:space="preserve">rozteč 2,5 mm, vertikální</t>
  </si>
  <si>
    <t xml:space="preserve">JST B4B-XH-A</t>
  </si>
  <si>
    <t xml:space="preserve">J5</t>
  </si>
  <si>
    <t xml:space="preserve">Svorkovnice 2 pól</t>
  </si>
  <si>
    <t xml:space="preserve">rozteč 5,08 mm, do DPS</t>
  </si>
  <si>
    <t xml:space="preserve">Phoenix Contact MKDS 1,5/2-5,08 (1715721)</t>
  </si>
  <si>
    <t xml:space="preserve">J1</t>
  </si>
  <si>
    <t xml:space="preserve">Svorkovnice 6 pól</t>
  </si>
  <si>
    <t xml:space="preserve">Phoenix Contact MKDS 1,5/6-5,08 (1715763)</t>
  </si>
  <si>
    <t xml:space="preserve">J2 J3</t>
  </si>
  <si>
    <t xml:space="preserve">Moduly</t>
  </si>
  <si>
    <t xml:space="preserve">Arduino Nano (ATmega328P, 5 V)</t>
  </si>
  <si>
    <t xml:space="preserve">zasouvá se do patic (viz níže)</t>
  </si>
  <si>
    <t xml:space="preserve">Arduino Nano nebo klon s CH340</t>
  </si>
  <si>
    <t xml:space="preserve">U2</t>
  </si>
  <si>
    <t xml:space="preserve">Displej Nextion 2,4″</t>
  </si>
  <si>
    <t xml:space="preserve">UART, 5 V</t>
  </si>
  <si>
    <t xml:space="preserve">Nextion NX3224T024 (nebo NX4024T032 3,2″)</t>
  </si>
  <si>
    <t xml:space="preserve">mimo desku, přes J5</t>
  </si>
  <si>
    <t xml:space="preserve">Celkem kusů k objednání:</t>
  </si>
  <si>
    <t xml:space="preserve">Součástek osazených na desce (referencí ve schématu): 74</t>
  </si>
  <si>
    <t xml:space="preserve">Postup osazení – od nejnižších součástek po nejvyšší</t>
  </si>
  <si>
    <t xml:space="preserve">Na desce je na potisku vytištěné, co kam patří (sloupec 'Na potisku'). Označení (R18 …) je v osazovacím výkresu docs/aw4_shield_osazovaci_vykres.pdf a v interaktivním BOM.</t>
  </si>
  <si>
    <t xml:space="preserve">Krok</t>
  </si>
  <si>
    <t xml:space="preserve">Označení</t>
  </si>
  <si>
    <t xml:space="preserve">Na potisku</t>
  </si>
  <si>
    <t xml:space="preserve">Hodnota ve schématu</t>
  </si>
  <si>
    <t xml:space="preserve">Pozor</t>
  </si>
  <si>
    <t xml:space="preserve">Osazeno ✓</t>
  </si>
  <si>
    <t xml:space="preserve">1. rezistory</t>
  </si>
  <si>
    <t xml:space="preserve">100k</t>
  </si>
  <si>
    <t xml:space="preserve">0R</t>
  </si>
  <si>
    <t xml:space="preserve">R3</t>
  </si>
  <si>
    <t xml:space="preserve">1k</t>
  </si>
  <si>
    <t xml:space="preserve">R4</t>
  </si>
  <si>
    <t xml:space="preserve">10k</t>
  </si>
  <si>
    <t xml:space="preserve">R5</t>
  </si>
  <si>
    <t xml:space="preserve">R6</t>
  </si>
  <si>
    <t xml:space="preserve">R7</t>
  </si>
  <si>
    <t xml:space="preserve">R8</t>
  </si>
  <si>
    <t xml:space="preserve">R9</t>
  </si>
  <si>
    <t xml:space="preserve">R10</t>
  </si>
  <si>
    <t xml:space="preserve">R11</t>
  </si>
  <si>
    <t xml:space="preserve">100R</t>
  </si>
  <si>
    <t xml:space="preserve">R12</t>
  </si>
  <si>
    <t xml:space="preserve">R13</t>
  </si>
  <si>
    <t xml:space="preserve">330</t>
  </si>
  <si>
    <t xml:space="preserve">220</t>
  </si>
  <si>
    <t xml:space="preserve">R15</t>
  </si>
  <si>
    <t xml:space="preserve">2k2</t>
  </si>
  <si>
    <t xml:space="preserve">R17</t>
  </si>
  <si>
    <t xml:space="preserve">R18</t>
  </si>
  <si>
    <t xml:space="preserve">R19</t>
  </si>
  <si>
    <t xml:space="preserve">R20</t>
  </si>
  <si>
    <t xml:space="preserve">R21</t>
  </si>
  <si>
    <t xml:space="preserve">R22</t>
  </si>
  <si>
    <t xml:space="preserve">R23</t>
  </si>
  <si>
    <t xml:space="preserve">R24</t>
  </si>
  <si>
    <t xml:space="preserve">R25</t>
  </si>
  <si>
    <t xml:space="preserve">2. diody</t>
  </si>
  <si>
    <t xml:space="preserve">12V</t>
  </si>
  <si>
    <t xml:space="preserve">BZX55C12</t>
  </si>
  <si>
    <t xml:space="preserve">pozor na polaritu – proužek = katoda (K)</t>
  </si>
  <si>
    <t xml:space="preserve">P6KE27</t>
  </si>
  <si>
    <t xml:space="preserve">D3</t>
  </si>
  <si>
    <t xml:space="preserve">5V6</t>
  </si>
  <si>
    <t xml:space="preserve">BZX55C5V6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</si>
  <si>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</si>
  <si>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</si>
  <si>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</si>
  <si>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</si>
  <si>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</si>
  <si>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4148</t>
  </si>
  <si>
    <t xml:space="preserve">D11</t>
  </si>
  <si>
    <t xml:space="preserve">15V</t>
  </si>
  <si>
    <t xml:space="preserve">BZX55C15</t>
  </si>
  <si>
    <t xml:space="preserve">D12</t>
  </si>
  <si>
    <t xml:space="preserve">4007</t>
  </si>
  <si>
    <t xml:space="preserve">D13</t>
  </si>
  <si>
    <t xml:space="preserve">D14</t>
  </si>
  <si>
    <t xml:space="preserve">D15</t>
  </si>
  <si>
    <t xml:space="preserve">D16</t>
  </si>
  <si>
    <t xml:space="preserve">3. keramické C a ferity</t>
  </si>
  <si>
    <t xml:space="preserve">C2</t>
  </si>
  <si>
    <t xml:space="preserve">100n</t>
  </si>
  <si>
    <t xml:space="preserve">100nF</t>
  </si>
  <si>
    <t xml:space="preserve">C5</t>
  </si>
  <si>
    <t xml:space="preserve">C6</t>
  </si>
  <si>
    <t xml:space="preserve">C7</t>
  </si>
  <si>
    <t xml:space="preserve">C8</t>
  </si>
  <si>
    <t xml:space="preserve">C10</t>
  </si>
  <si>
    <t xml:space="preserve">L1</t>
  </si>
  <si>
    <t xml:space="preserve">FB</t>
  </si>
  <si>
    <t xml:space="preserve">600R@100MHz</t>
  </si>
  <si>
    <t xml:space="preserve">L2</t>
  </si>
  <si>
    <t xml:space="preserve">4. optočleny, tranzistor, LED</t>
  </si>
  <si>
    <t xml:space="preserve">LED</t>
  </si>
  <si>
    <t xml:space="preserve">zelená READY</t>
  </si>
  <si>
    <t xml:space="preserve">polarita! kratší nožička / plochá strana = katoda (čtvercový pad)</t>
  </si>
  <si>
    <t xml:space="preserve">BC337</t>
  </si>
  <si>
    <t xml:space="preserve">plochá strana podle potisku; nožičky trochu roztáhnout (rozteč 2,54)</t>
  </si>
  <si>
    <t xml:space="preserve">U3</t>
  </si>
  <si>
    <t xml:space="preserve">PC817</t>
  </si>
  <si>
    <t xml:space="preserve">tečka = pin 1 (u čtvercového padu)</t>
  </si>
  <si>
    <t xml:space="preserve">U4</t>
  </si>
  <si>
    <t xml:space="preserve">U5</t>
  </si>
  <si>
    <t xml:space="preserve">U6</t>
  </si>
  <si>
    <t xml:space="preserve">5. lišty, patice, JST</t>
  </si>
  <si>
    <t xml:space="preserve">J5 Nextion +5V GND RX TX</t>
  </si>
  <si>
    <t xml:space="preserve">J6 rezerva</t>
  </si>
  <si>
    <t xml:space="preserve">JP1 5V -&gt; Nano (jumper)</t>
  </si>
  <si>
    <t xml:space="preserve">6. elektrolyty</t>
  </si>
  <si>
    <t xml:space="preserve">470u</t>
  </si>
  <si>
    <t xml:space="preserve">470uF 25V</t>
  </si>
  <si>
    <t xml:space="preserve">polarita! + na označený pad</t>
  </si>
  <si>
    <t xml:space="preserve">10u</t>
  </si>
  <si>
    <t xml:space="preserve">10uF 25V</t>
  </si>
  <si>
    <t xml:space="preserve">47u</t>
  </si>
  <si>
    <t xml:space="preserve">47uF 10V</t>
  </si>
  <si>
    <t xml:space="preserve">100u</t>
  </si>
  <si>
    <t xml:space="preserve">100uF 10V</t>
  </si>
  <si>
    <t xml:space="preserve">7. TO-220, stabilizátor, patice pojistky</t>
  </si>
  <si>
    <t xml:space="preserve">5A</t>
  </si>
  <si>
    <t xml:space="preserve">IRF4905</t>
  </si>
  <si>
    <t xml:space="preserve">kovová plocha podle potisku</t>
  </si>
  <si>
    <t xml:space="preserve">Q3</t>
  </si>
  <si>
    <t xml:space="preserve">9540N</t>
  </si>
  <si>
    <t xml:space="preserve">IRF9540N</t>
  </si>
  <si>
    <t xml:space="preserve">Q4</t>
  </si>
  <si>
    <t xml:space="preserve">Q5</t>
  </si>
  <si>
    <t xml:space="preserve">TSR1-2450</t>
  </si>
  <si>
    <t xml:space="preserve">TSR 1-2450 (12V-&gt;5V 1A)</t>
  </si>
  <si>
    <t xml:space="preserve">pin 1 = Vin (čtvercový pad)</t>
  </si>
  <si>
    <t xml:space="preserve">8. relé a svorkovnice</t>
  </si>
  <si>
    <t xml:space="preserve">J1 +12V / PGND</t>
  </si>
  <si>
    <t xml:space="preserve">otvory pro vodiče ven z desky</t>
  </si>
  <si>
    <t xml:space="preserve">J2</t>
  </si>
  <si>
    <t xml:space="preserve">J2 SOL1-3 / TCU1-3</t>
  </si>
  <si>
    <t xml:space="preserve">J3</t>
  </si>
  <si>
    <t xml:space="preserve">J3 UP DOWN READY LOCKUP</t>
  </si>
  <si>
    <t xml:space="preserve">K1</t>
  </si>
  <si>
    <t xml:space="preserve">G5LE-1 12V SPDT</t>
  </si>
  <si>
    <t xml:space="preserve">K2</t>
  </si>
  <si>
    <t xml:space="preserve">K3</t>
  </si>
  <si>
    <t xml:space="preserve">9. Arduino Nano (zasunout)</t>
  </si>
  <si>
    <t xml:space="preserve">NANO</t>
  </si>
  <si>
    <t xml:space="preserve">Arduino Nano</t>
  </si>
  <si>
    <t xml:space="preserve">USB směrem k pravé hraně desky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</si>
</sst>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55555"/>
      <name val="Arial"/>
      <family val="0"/>
      <charset val="1"/>
    </font>
    <font>
      <sz val="10"/>
      <name val="Arial"/>
      <family val="2"/>
    </font>
    <font>
      <sz val="10"/>
      <color rgb="FF000000"/>
      <name val="Arial"/>
      <family val="0"/>
      <charset val="1"/>
    </font>
    <font>
      <sz val="10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42"/>
    <col collapsed="false" customWidth="true" hidden="false" outlineLevel="0" max="5" min="5" style="0" width="40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34"/>
    <col collapsed="false" customWidth="true" hidden="false" outlineLevel="0" max="9" min="9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C2" s="3" t="n">
        <v>1</v>
      </c>
      <c r="D2" s="4" t="s">
        <v>2</v>
      </c>
      <c r="G2" s="3" t="n">
        <v>2</v>
      </c>
    </row>
    <row r="3" customFormat="false" ht="15" hidden="false" customHeight="false" outlineLevel="0" collapsed="false">
      <c r="A3" s="5" t="s">
        <v>3</v>
      </c>
    </row>
    <row r="5" customFormat="false" ht="39.55" hidden="false" customHeight="false" outlineLevel="0" collapsed="false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</row>
    <row r="6" customFormat="false" ht="23.85" hidden="false" customHeight="false" outlineLevel="0" collapsed="false">
      <c r="A6" s="7" t="n">
        <v>1</v>
      </c>
      <c r="B6" s="7" t="s">
        <v>13</v>
      </c>
      <c r="C6" s="7" t="s">
        <v>14</v>
      </c>
      <c r="D6" s="7" t="s">
        <v>15</v>
      </c>
      <c r="E6" s="7" t="s">
        <v>16</v>
      </c>
      <c r="F6" s="8" t="n">
        <v>1</v>
      </c>
      <c r="G6" s="9" t="n">
        <f aca="false">F6*$C$2+IF(TRUE(),$G$2,0)</f>
        <v>3</v>
      </c>
      <c r="H6" s="7" t="s">
        <v>17</v>
      </c>
      <c r="I6" s="7"/>
    </row>
    <row r="7" customFormat="false" ht="15" hidden="false" customHeight="false" outlineLevel="0" collapsed="false">
      <c r="A7" s="10" t="n">
        <v>2</v>
      </c>
      <c r="B7" s="10" t="s">
        <v>13</v>
      </c>
      <c r="C7" s="10" t="s">
        <v>18</v>
      </c>
      <c r="D7" s="10" t="s">
        <v>19</v>
      </c>
      <c r="E7" s="10" t="s">
        <v>16</v>
      </c>
      <c r="F7" s="11" t="n">
        <v>2</v>
      </c>
      <c r="G7" s="12" t="n">
        <f aca="false">F7*$C$2+IF(TRUE(),$G$2,0)</f>
        <v>4</v>
      </c>
      <c r="H7" s="10" t="s">
        <v>20</v>
      </c>
      <c r="I7" s="10"/>
    </row>
    <row r="8" customFormat="false" ht="15" hidden="false" customHeight="false" outlineLevel="0" collapsed="false">
      <c r="A8" s="7" t="n">
        <v>3</v>
      </c>
      <c r="B8" s="7" t="s">
        <v>13</v>
      </c>
      <c r="C8" s="7" t="s">
        <v>21</v>
      </c>
      <c r="D8" s="7" t="s">
        <v>19</v>
      </c>
      <c r="E8" s="7" t="s">
        <v>16</v>
      </c>
      <c r="F8" s="8" t="n">
        <v>1</v>
      </c>
      <c r="G8" s="9" t="n">
        <f aca="false">F8*$C$2+IF(TRUE(),$G$2,0)</f>
        <v>3</v>
      </c>
      <c r="H8" s="7" t="s">
        <v>22</v>
      </c>
      <c r="I8" s="7"/>
    </row>
    <row r="9" customFormat="false" ht="23.85" hidden="false" customHeight="false" outlineLevel="0" collapsed="false">
      <c r="A9" s="10" t="n">
        <v>4</v>
      </c>
      <c r="B9" s="10" t="s">
        <v>13</v>
      </c>
      <c r="C9" s="10" t="s">
        <v>23</v>
      </c>
      <c r="D9" s="10" t="s">
        <v>24</v>
      </c>
      <c r="E9" s="10" t="s">
        <v>16</v>
      </c>
      <c r="F9" s="11" t="n">
        <v>4</v>
      </c>
      <c r="G9" s="12" t="n">
        <f aca="false">F9*$C$2+IF(TRUE(),$G$2,0)</f>
        <v>6</v>
      </c>
      <c r="H9" s="10" t="s">
        <v>25</v>
      </c>
      <c r="I9" s="10"/>
    </row>
    <row r="10" customFormat="false" ht="15" hidden="false" customHeight="false" outlineLevel="0" collapsed="false">
      <c r="A10" s="7" t="n">
        <v>5</v>
      </c>
      <c r="B10" s="7" t="s">
        <v>13</v>
      </c>
      <c r="C10" s="7" t="s">
        <v>26</v>
      </c>
      <c r="D10" s="7" t="s">
        <v>19</v>
      </c>
      <c r="E10" s="7" t="s">
        <v>16</v>
      </c>
      <c r="F10" s="8" t="n">
        <v>7</v>
      </c>
      <c r="G10" s="9" t="n">
        <f aca="false">F10*$C$2+IF(TRUE(),$G$2,0)</f>
        <v>9</v>
      </c>
      <c r="H10" s="7" t="s">
        <v>27</v>
      </c>
      <c r="I10" s="7"/>
    </row>
    <row r="11" customFormat="false" ht="15" hidden="false" customHeight="false" outlineLevel="0" collapsed="false">
      <c r="A11" s="10" t="n">
        <v>6</v>
      </c>
      <c r="B11" s="10" t="s">
        <v>13</v>
      </c>
      <c r="C11" s="10" t="s">
        <v>28</v>
      </c>
      <c r="D11" s="10" t="s">
        <v>19</v>
      </c>
      <c r="E11" s="10" t="s">
        <v>16</v>
      </c>
      <c r="F11" s="11" t="n">
        <v>1</v>
      </c>
      <c r="G11" s="12" t="n">
        <f aca="false">F11*$C$2+IF(TRUE(),$G$2,0)</f>
        <v>3</v>
      </c>
      <c r="H11" s="10" t="s">
        <v>29</v>
      </c>
      <c r="I11" s="10"/>
    </row>
    <row r="12" customFormat="false" ht="15" hidden="false" customHeight="false" outlineLevel="0" collapsed="false">
      <c r="A12" s="7" t="n">
        <v>7</v>
      </c>
      <c r="B12" s="7" t="s">
        <v>13</v>
      </c>
      <c r="C12" s="7" t="s">
        <v>30</v>
      </c>
      <c r="D12" s="7" t="s">
        <v>19</v>
      </c>
      <c r="E12" s="7" t="s">
        <v>16</v>
      </c>
      <c r="F12" s="8" t="n">
        <v>8</v>
      </c>
      <c r="G12" s="9" t="n">
        <f aca="false">F12*$C$2+IF(TRUE(),$G$2,0)</f>
        <v>10</v>
      </c>
      <c r="H12" s="7" t="s">
        <v>31</v>
      </c>
      <c r="I12" s="7"/>
    </row>
    <row r="13" customFormat="false" ht="15" hidden="false" customHeight="false" outlineLevel="0" collapsed="false">
      <c r="A13" s="10" t="n">
        <v>8</v>
      </c>
      <c r="B13" s="10" t="s">
        <v>13</v>
      </c>
      <c r="C13" s="10" t="s">
        <v>32</v>
      </c>
      <c r="D13" s="10" t="s">
        <v>19</v>
      </c>
      <c r="E13" s="10" t="s">
        <v>16</v>
      </c>
      <c r="F13" s="11" t="n">
        <v>1</v>
      </c>
      <c r="G13" s="12" t="n">
        <f aca="false">F13*$C$2+IF(TRUE(),$G$2,0)</f>
        <v>3</v>
      </c>
      <c r="H13" s="10" t="s">
        <v>33</v>
      </c>
      <c r="I13" s="10"/>
    </row>
    <row r="14" customFormat="false" ht="15" hidden="false" customHeight="false" outlineLevel="0" collapsed="false">
      <c r="A14" s="7" t="n">
        <v>9</v>
      </c>
      <c r="B14" s="7" t="s">
        <v>34</v>
      </c>
      <c r="C14" s="7" t="s">
        <v>35</v>
      </c>
      <c r="D14" s="7" t="s">
        <v>36</v>
      </c>
      <c r="E14" s="7" t="s">
        <v>37</v>
      </c>
      <c r="F14" s="8" t="n">
        <v>3</v>
      </c>
      <c r="G14" s="9" t="n">
        <f aca="false">F14*$C$2+IF(TRUE(),$G$2,0)</f>
        <v>5</v>
      </c>
      <c r="H14" s="7" t="s">
        <v>38</v>
      </c>
      <c r="I14" s="7"/>
    </row>
    <row r="15" customFormat="false" ht="15" hidden="false" customHeight="false" outlineLevel="0" collapsed="false">
      <c r="A15" s="10" t="n">
        <v>10</v>
      </c>
      <c r="B15" s="10" t="s">
        <v>34</v>
      </c>
      <c r="C15" s="10" t="s">
        <v>39</v>
      </c>
      <c r="D15" s="10" t="s">
        <v>40</v>
      </c>
      <c r="E15" s="10" t="s">
        <v>41</v>
      </c>
      <c r="F15" s="11" t="n">
        <v>1</v>
      </c>
      <c r="G15" s="12" t="n">
        <f aca="false">F15*$C$2+IF(TRUE(),$G$2,0)</f>
        <v>3</v>
      </c>
      <c r="H15" s="10" t="s">
        <v>42</v>
      </c>
      <c r="I15" s="10"/>
    </row>
    <row r="16" customFormat="false" ht="15" hidden="false" customHeight="false" outlineLevel="0" collapsed="false">
      <c r="A16" s="7" t="n">
        <v>11</v>
      </c>
      <c r="B16" s="7" t="s">
        <v>34</v>
      </c>
      <c r="C16" s="7" t="s">
        <v>43</v>
      </c>
      <c r="D16" s="7" t="s">
        <v>44</v>
      </c>
      <c r="E16" s="7" t="s">
        <v>45</v>
      </c>
      <c r="F16" s="8" t="n">
        <v>1</v>
      </c>
      <c r="G16" s="9" t="n">
        <f aca="false">F16*$C$2+IF(TRUE(),$G$2,0)</f>
        <v>3</v>
      </c>
      <c r="H16" s="7" t="s">
        <v>46</v>
      </c>
      <c r="I16" s="7"/>
    </row>
    <row r="17" customFormat="false" ht="15" hidden="false" customHeight="false" outlineLevel="0" collapsed="false">
      <c r="A17" s="10" t="n">
        <v>12</v>
      </c>
      <c r="B17" s="10" t="s">
        <v>34</v>
      </c>
      <c r="C17" s="10" t="s">
        <v>47</v>
      </c>
      <c r="D17" s="10" t="s">
        <v>48</v>
      </c>
      <c r="E17" s="10" t="s">
        <v>49</v>
      </c>
      <c r="F17" s="11" t="n">
        <v>1</v>
      </c>
      <c r="G17" s="12" t="n">
        <f aca="false">F17*$C$2+IF(TRUE(),$G$2,0)</f>
        <v>3</v>
      </c>
      <c r="H17" s="10" t="s">
        <v>50</v>
      </c>
      <c r="I17" s="10"/>
    </row>
    <row r="18" customFormat="false" ht="15" hidden="false" customHeight="false" outlineLevel="0" collapsed="false">
      <c r="A18" s="7" t="n">
        <v>13</v>
      </c>
      <c r="B18" s="7" t="s">
        <v>34</v>
      </c>
      <c r="C18" s="7" t="s">
        <v>51</v>
      </c>
      <c r="D18" s="7" t="s">
        <v>48</v>
      </c>
      <c r="E18" s="7" t="s">
        <v>52</v>
      </c>
      <c r="F18" s="8" t="n">
        <v>3</v>
      </c>
      <c r="G18" s="9" t="n">
        <f aca="false">F18*$C$2+IF(TRUE(),$G$2,0)</f>
        <v>5</v>
      </c>
      <c r="H18" s="7" t="s">
        <v>53</v>
      </c>
      <c r="I18" s="7"/>
    </row>
    <row r="19" customFormat="false" ht="15" hidden="false" customHeight="false" outlineLevel="0" collapsed="false">
      <c r="A19" s="10" t="n">
        <v>14</v>
      </c>
      <c r="B19" s="10" t="s">
        <v>34</v>
      </c>
      <c r="C19" s="10" t="s">
        <v>54</v>
      </c>
      <c r="D19" s="10" t="s">
        <v>55</v>
      </c>
      <c r="E19" s="10" t="s">
        <v>56</v>
      </c>
      <c r="F19" s="11" t="n">
        <v>6</v>
      </c>
      <c r="G19" s="12" t="n">
        <f aca="false">F19*$C$2+IF(TRUE(),$G$2,0)</f>
        <v>8</v>
      </c>
      <c r="H19" s="10" t="s">
        <v>57</v>
      </c>
      <c r="I19" s="10"/>
    </row>
    <row r="20" customFormat="false" ht="15" hidden="false" customHeight="false" outlineLevel="0" collapsed="false">
      <c r="A20" s="7" t="n">
        <v>15</v>
      </c>
      <c r="B20" s="7" t="s">
        <v>58</v>
      </c>
      <c r="C20" s="7" t="s">
        <v>59</v>
      </c>
      <c r="D20" s="7" t="s">
        <v>60</v>
      </c>
      <c r="E20" s="7" t="s">
        <v>16</v>
      </c>
      <c r="F20" s="8" t="n">
        <v>1</v>
      </c>
      <c r="G20" s="9" t="n">
        <f aca="false">F20*$C$2+IF(TRUE(),$G$2,0)</f>
        <v>3</v>
      </c>
      <c r="H20" s="7" t="s">
        <v>61</v>
      </c>
      <c r="I20" s="7"/>
    </row>
    <row r="21" customFormat="false" ht="15" hidden="false" customHeight="false" outlineLevel="0" collapsed="false">
      <c r="A21" s="10" t="n">
        <v>16</v>
      </c>
      <c r="B21" s="10" t="s">
        <v>58</v>
      </c>
      <c r="C21" s="10" t="s">
        <v>62</v>
      </c>
      <c r="D21" s="10" t="s">
        <v>63</v>
      </c>
      <c r="E21" s="10" t="s">
        <v>16</v>
      </c>
      <c r="F21" s="11" t="n">
        <v>1</v>
      </c>
      <c r="G21" s="12" t="n">
        <f aca="false">F21*$C$2+IF(TRUE(),$G$2,0)</f>
        <v>3</v>
      </c>
      <c r="H21" s="10" t="s">
        <v>64</v>
      </c>
      <c r="I21" s="10"/>
    </row>
    <row r="22" customFormat="false" ht="15" hidden="false" customHeight="false" outlineLevel="0" collapsed="false">
      <c r="A22" s="7" t="n">
        <v>17</v>
      </c>
      <c r="B22" s="7" t="s">
        <v>58</v>
      </c>
      <c r="C22" s="7" t="s">
        <v>65</v>
      </c>
      <c r="D22" s="7" t="s">
        <v>63</v>
      </c>
      <c r="E22" s="7" t="s">
        <v>16</v>
      </c>
      <c r="F22" s="8" t="n">
        <v>1</v>
      </c>
      <c r="G22" s="9" t="n">
        <f aca="false">F22*$C$2+IF(TRUE(),$G$2,0)</f>
        <v>3</v>
      </c>
      <c r="H22" s="7" t="s">
        <v>66</v>
      </c>
      <c r="I22" s="7"/>
    </row>
    <row r="23" customFormat="false" ht="15" hidden="false" customHeight="false" outlineLevel="0" collapsed="false">
      <c r="A23" s="10" t="n">
        <v>18</v>
      </c>
      <c r="B23" s="10" t="s">
        <v>58</v>
      </c>
      <c r="C23" s="10" t="s">
        <v>67</v>
      </c>
      <c r="D23" s="10" t="s">
        <v>68</v>
      </c>
      <c r="E23" s="10" t="s">
        <v>69</v>
      </c>
      <c r="F23" s="11" t="n">
        <v>1</v>
      </c>
      <c r="G23" s="12" t="n">
        <f aca="false">F23*$C$2+IF(TRUE(),$G$2,0)</f>
        <v>3</v>
      </c>
      <c r="H23" s="10" t="s">
        <v>70</v>
      </c>
      <c r="I23" s="10"/>
    </row>
    <row r="24" customFormat="false" ht="23.85" hidden="false" customHeight="false" outlineLevel="0" collapsed="false">
      <c r="A24" s="7" t="n">
        <v>19</v>
      </c>
      <c r="B24" s="7" t="s">
        <v>58</v>
      </c>
      <c r="C24" s="7" t="s">
        <v>71</v>
      </c>
      <c r="D24" s="7" t="s">
        <v>72</v>
      </c>
      <c r="E24" s="7" t="s">
        <v>73</v>
      </c>
      <c r="F24" s="8" t="n">
        <v>2</v>
      </c>
      <c r="G24" s="9" t="n">
        <f aca="false">F24*$C$2+IF(TRUE(),$G$2,0)</f>
        <v>4</v>
      </c>
      <c r="H24" s="7" t="s">
        <v>74</v>
      </c>
      <c r="I24" s="7"/>
    </row>
    <row r="25" customFormat="false" ht="15" hidden="false" customHeight="false" outlineLevel="0" collapsed="false">
      <c r="A25" s="10" t="n">
        <v>20</v>
      </c>
      <c r="B25" s="10" t="s">
        <v>58</v>
      </c>
      <c r="C25" s="10" t="s">
        <v>75</v>
      </c>
      <c r="D25" s="10" t="s">
        <v>76</v>
      </c>
      <c r="E25" s="10" t="s">
        <v>77</v>
      </c>
      <c r="F25" s="11" t="n">
        <v>6</v>
      </c>
      <c r="G25" s="12" t="n">
        <f aca="false">F25*$C$2+IF(TRUE(),$G$2,0)</f>
        <v>8</v>
      </c>
      <c r="H25" s="10" t="s">
        <v>78</v>
      </c>
      <c r="I25" s="10"/>
    </row>
    <row r="26" customFormat="false" ht="15" hidden="false" customHeight="false" outlineLevel="0" collapsed="false">
      <c r="A26" s="7" t="n">
        <v>21</v>
      </c>
      <c r="B26" s="7" t="s">
        <v>79</v>
      </c>
      <c r="C26" s="7" t="s">
        <v>80</v>
      </c>
      <c r="D26" s="7" t="s">
        <v>81</v>
      </c>
      <c r="E26" s="7" t="s">
        <v>82</v>
      </c>
      <c r="F26" s="8" t="n">
        <v>1</v>
      </c>
      <c r="G26" s="9" t="n">
        <f aca="false">F26*$C$2</f>
        <v>1</v>
      </c>
      <c r="H26" s="7" t="s">
        <v>83</v>
      </c>
      <c r="I26" s="7"/>
    </row>
    <row r="27" customFormat="false" ht="15" hidden="false" customHeight="false" outlineLevel="0" collapsed="false">
      <c r="A27" s="10" t="n">
        <v>22</v>
      </c>
      <c r="B27" s="10" t="s">
        <v>79</v>
      </c>
      <c r="C27" s="10" t="s">
        <v>84</v>
      </c>
      <c r="D27" s="10" t="s">
        <v>85</v>
      </c>
      <c r="E27" s="10" t="s">
        <v>86</v>
      </c>
      <c r="F27" s="11" t="n">
        <v>4</v>
      </c>
      <c r="G27" s="12" t="n">
        <f aca="false">F27*$C$2</f>
        <v>4</v>
      </c>
      <c r="H27" s="10" t="s">
        <v>87</v>
      </c>
      <c r="I27" s="10"/>
    </row>
    <row r="28" customFormat="false" ht="15" hidden="false" customHeight="false" outlineLevel="0" collapsed="false">
      <c r="A28" s="7" t="n">
        <v>23</v>
      </c>
      <c r="B28" s="7" t="s">
        <v>79</v>
      </c>
      <c r="C28" s="7" t="s">
        <v>88</v>
      </c>
      <c r="D28" s="7" t="s">
        <v>89</v>
      </c>
      <c r="E28" s="7" t="s">
        <v>90</v>
      </c>
      <c r="F28" s="8" t="n">
        <v>1</v>
      </c>
      <c r="G28" s="9" t="n">
        <f aca="false">F28*$C$2</f>
        <v>1</v>
      </c>
      <c r="H28" s="7" t="s">
        <v>91</v>
      </c>
      <c r="I28" s="7"/>
    </row>
    <row r="29" customFormat="false" ht="15" hidden="false" customHeight="false" outlineLevel="0" collapsed="false">
      <c r="A29" s="10" t="n">
        <v>24</v>
      </c>
      <c r="B29" s="10" t="s">
        <v>79</v>
      </c>
      <c r="C29" s="10" t="s">
        <v>92</v>
      </c>
      <c r="D29" s="10" t="s">
        <v>93</v>
      </c>
      <c r="E29" s="10" t="s">
        <v>94</v>
      </c>
      <c r="F29" s="11" t="n">
        <v>3</v>
      </c>
      <c r="G29" s="12" t="n">
        <f aca="false">F29*$C$2</f>
        <v>3</v>
      </c>
      <c r="H29" s="10" t="s">
        <v>95</v>
      </c>
      <c r="I29" s="10"/>
    </row>
    <row r="30" customFormat="false" ht="15" hidden="false" customHeight="false" outlineLevel="0" collapsed="false">
      <c r="A30" s="7" t="n">
        <v>25</v>
      </c>
      <c r="B30" s="7" t="s">
        <v>79</v>
      </c>
      <c r="C30" s="7" t="s">
        <v>96</v>
      </c>
      <c r="D30" s="7" t="s">
        <v>97</v>
      </c>
      <c r="E30" s="7" t="s">
        <v>98</v>
      </c>
      <c r="F30" s="8" t="n">
        <v>1</v>
      </c>
      <c r="G30" s="9" t="n">
        <f aca="false">F30*$C$2</f>
        <v>1</v>
      </c>
      <c r="H30" s="7" t="s">
        <v>99</v>
      </c>
      <c r="I30" s="7"/>
    </row>
    <row r="31" customFormat="false" ht="15" hidden="false" customHeight="false" outlineLevel="0" collapsed="false">
      <c r="A31" s="10" t="n">
        <v>26</v>
      </c>
      <c r="B31" s="10" t="s">
        <v>79</v>
      </c>
      <c r="C31" s="10" t="s">
        <v>100</v>
      </c>
      <c r="D31" s="10" t="s">
        <v>101</v>
      </c>
      <c r="E31" s="10" t="s">
        <v>102</v>
      </c>
      <c r="F31" s="11" t="n">
        <v>1</v>
      </c>
      <c r="G31" s="12" t="n">
        <f aca="false">F31*$C$2</f>
        <v>1</v>
      </c>
      <c r="H31" s="10" t="s">
        <v>103</v>
      </c>
      <c r="I31" s="10"/>
    </row>
    <row r="32" customFormat="false" ht="15" hidden="false" customHeight="false" outlineLevel="0" collapsed="false">
      <c r="A32" s="7" t="n">
        <v>27</v>
      </c>
      <c r="B32" s="7" t="s">
        <v>104</v>
      </c>
      <c r="C32" s="7" t="s">
        <v>105</v>
      </c>
      <c r="D32" s="7" t="s">
        <v>106</v>
      </c>
      <c r="E32" s="7" t="s">
        <v>107</v>
      </c>
      <c r="F32" s="8" t="n">
        <v>4</v>
      </c>
      <c r="G32" s="9" t="n">
        <f aca="false">F32*$C$2</f>
        <v>4</v>
      </c>
      <c r="H32" s="7" t="s">
        <v>108</v>
      </c>
      <c r="I32" s="7"/>
    </row>
    <row r="33" customFormat="false" ht="15" hidden="false" customHeight="false" outlineLevel="0" collapsed="false">
      <c r="A33" s="10" t="n">
        <v>28</v>
      </c>
      <c r="B33" s="10" t="s">
        <v>104</v>
      </c>
      <c r="C33" s="10" t="s">
        <v>109</v>
      </c>
      <c r="D33" s="10" t="s">
        <v>110</v>
      </c>
      <c r="E33" s="10" t="s">
        <v>111</v>
      </c>
      <c r="F33" s="11" t="n">
        <v>1</v>
      </c>
      <c r="G33" s="12" t="n">
        <f aca="false">F33*$C$2</f>
        <v>1</v>
      </c>
      <c r="H33" s="10" t="s">
        <v>112</v>
      </c>
      <c r="I33" s="10"/>
    </row>
    <row r="34" customFormat="false" ht="15" hidden="false" customHeight="false" outlineLevel="0" collapsed="false">
      <c r="A34" s="7" t="n">
        <v>29</v>
      </c>
      <c r="B34" s="7" t="s">
        <v>104</v>
      </c>
      <c r="C34" s="7" t="s">
        <v>113</v>
      </c>
      <c r="D34" s="7" t="s">
        <v>114</v>
      </c>
      <c r="E34" s="7" t="s">
        <v>115</v>
      </c>
      <c r="F34" s="8" t="n">
        <v>1</v>
      </c>
      <c r="G34" s="9" t="n">
        <f aca="false">F34*$C$2</f>
        <v>1</v>
      </c>
      <c r="H34" s="7" t="s">
        <v>116</v>
      </c>
      <c r="I34" s="7"/>
    </row>
    <row r="35" customFormat="false" ht="23.85" hidden="false" customHeight="false" outlineLevel="0" collapsed="false">
      <c r="A35" s="10" t="n">
        <v>30</v>
      </c>
      <c r="B35" s="10" t="s">
        <v>104</v>
      </c>
      <c r="C35" s="10" t="s">
        <v>117</v>
      </c>
      <c r="D35" s="10" t="s">
        <v>118</v>
      </c>
      <c r="E35" s="10" t="s">
        <v>119</v>
      </c>
      <c r="F35" s="11" t="n">
        <v>3</v>
      </c>
      <c r="G35" s="12" t="n">
        <f aca="false">F35*$C$2</f>
        <v>3</v>
      </c>
      <c r="H35" s="10" t="s">
        <v>120</v>
      </c>
      <c r="I35" s="10"/>
    </row>
    <row r="36" customFormat="false" ht="23.85" hidden="false" customHeight="false" outlineLevel="0" collapsed="false">
      <c r="A36" s="7" t="n">
        <v>31</v>
      </c>
      <c r="B36" s="7" t="s">
        <v>121</v>
      </c>
      <c r="C36" s="7" t="s">
        <v>122</v>
      </c>
      <c r="D36" s="7" t="s">
        <v>123</v>
      </c>
      <c r="E36" s="7" t="s">
        <v>124</v>
      </c>
      <c r="F36" s="8" t="n">
        <v>2</v>
      </c>
      <c r="G36" s="9" t="n">
        <f aca="false">F36*$C$2</f>
        <v>2</v>
      </c>
      <c r="H36" s="7" t="s">
        <v>125</v>
      </c>
      <c r="I36" s="7"/>
    </row>
    <row r="37" customFormat="false" ht="15" hidden="false" customHeight="false" outlineLevel="0" collapsed="false">
      <c r="A37" s="10" t="n">
        <v>32</v>
      </c>
      <c r="B37" s="10" t="s">
        <v>121</v>
      </c>
      <c r="C37" s="10" t="s">
        <v>126</v>
      </c>
      <c r="D37" s="10" t="s">
        <v>127</v>
      </c>
      <c r="E37" s="10" t="s">
        <v>128</v>
      </c>
      <c r="F37" s="11" t="n">
        <v>1</v>
      </c>
      <c r="G37" s="12" t="n">
        <f aca="false">F37*$C$2</f>
        <v>1</v>
      </c>
      <c r="H37" s="10" t="s">
        <v>129</v>
      </c>
      <c r="I37" s="10"/>
    </row>
    <row r="38" customFormat="false" ht="15" hidden="false" customHeight="false" outlineLevel="0" collapsed="false">
      <c r="A38" s="7" t="n">
        <v>33</v>
      </c>
      <c r="B38" s="7" t="s">
        <v>121</v>
      </c>
      <c r="C38" s="7" t="s">
        <v>130</v>
      </c>
      <c r="D38" s="7" t="s">
        <v>123</v>
      </c>
      <c r="E38" s="7" t="s">
        <v>131</v>
      </c>
      <c r="F38" s="8" t="n">
        <v>1</v>
      </c>
      <c r="G38" s="9" t="n">
        <f aca="false">F38*$C$2</f>
        <v>1</v>
      </c>
      <c r="H38" s="7" t="s">
        <v>132</v>
      </c>
      <c r="I38" s="7"/>
    </row>
    <row r="39" customFormat="false" ht="15" hidden="false" customHeight="false" outlineLevel="0" collapsed="false">
      <c r="A39" s="10" t="n">
        <v>34</v>
      </c>
      <c r="B39" s="10" t="s">
        <v>121</v>
      </c>
      <c r="C39" s="10" t="s">
        <v>133</v>
      </c>
      <c r="D39" s="10" t="s">
        <v>134</v>
      </c>
      <c r="E39" s="10" t="s">
        <v>135</v>
      </c>
      <c r="F39" s="11" t="n">
        <v>1</v>
      </c>
      <c r="G39" s="12" t="n">
        <f aca="false">F39*$C$2</f>
        <v>1</v>
      </c>
      <c r="H39" s="10" t="s">
        <v>136</v>
      </c>
      <c r="I39" s="10"/>
    </row>
    <row r="40" customFormat="false" ht="15" hidden="false" customHeight="false" outlineLevel="0" collapsed="false">
      <c r="A40" s="7" t="n">
        <v>35</v>
      </c>
      <c r="B40" s="7" t="s">
        <v>121</v>
      </c>
      <c r="C40" s="7" t="s">
        <v>137</v>
      </c>
      <c r="D40" s="7" t="s">
        <v>138</v>
      </c>
      <c r="E40" s="7" t="s">
        <v>139</v>
      </c>
      <c r="F40" s="8" t="n">
        <v>1</v>
      </c>
      <c r="G40" s="9" t="n">
        <f aca="false">F40*$C$2</f>
        <v>1</v>
      </c>
      <c r="H40" s="7" t="s">
        <v>140</v>
      </c>
      <c r="I40" s="7"/>
    </row>
    <row r="41" customFormat="false" ht="15" hidden="false" customHeight="false" outlineLevel="0" collapsed="false">
      <c r="A41" s="10" t="n">
        <v>36</v>
      </c>
      <c r="B41" s="10" t="s">
        <v>121</v>
      </c>
      <c r="C41" s="10" t="s">
        <v>141</v>
      </c>
      <c r="D41" s="10" t="s">
        <v>142</v>
      </c>
      <c r="E41" s="10" t="s">
        <v>143</v>
      </c>
      <c r="F41" s="11" t="n">
        <v>1</v>
      </c>
      <c r="G41" s="12" t="n">
        <f aca="false">F41*$C$2</f>
        <v>1</v>
      </c>
      <c r="H41" s="10" t="s">
        <v>144</v>
      </c>
      <c r="I41" s="10"/>
    </row>
    <row r="42" customFormat="false" ht="15" hidden="false" customHeight="false" outlineLevel="0" collapsed="false">
      <c r="A42" s="7" t="n">
        <v>37</v>
      </c>
      <c r="B42" s="7" t="s">
        <v>121</v>
      </c>
      <c r="C42" s="7" t="s">
        <v>145</v>
      </c>
      <c r="D42" s="7" t="s">
        <v>142</v>
      </c>
      <c r="E42" s="7" t="s">
        <v>146</v>
      </c>
      <c r="F42" s="8" t="n">
        <v>2</v>
      </c>
      <c r="G42" s="9" t="n">
        <f aca="false">F42*$C$2</f>
        <v>2</v>
      </c>
      <c r="H42" s="7" t="s">
        <v>147</v>
      </c>
      <c r="I42" s="7"/>
    </row>
    <row r="43" customFormat="false" ht="15" hidden="false" customHeight="false" outlineLevel="0" collapsed="false">
      <c r="A43" s="10" t="n">
        <v>38</v>
      </c>
      <c r="B43" s="10" t="s">
        <v>148</v>
      </c>
      <c r="C43" s="10" t="s">
        <v>149</v>
      </c>
      <c r="D43" s="10" t="s">
        <v>150</v>
      </c>
      <c r="E43" s="10" t="s">
        <v>151</v>
      </c>
      <c r="F43" s="11" t="n">
        <v>1</v>
      </c>
      <c r="G43" s="12" t="n">
        <f aca="false">F43*$C$2</f>
        <v>1</v>
      </c>
      <c r="H43" s="10" t="s">
        <v>152</v>
      </c>
      <c r="I43" s="10"/>
    </row>
    <row r="44" customFormat="false" ht="15" hidden="false" customHeight="false" outlineLevel="0" collapsed="false">
      <c r="A44" s="7" t="n">
        <v>39</v>
      </c>
      <c r="B44" s="7" t="s">
        <v>148</v>
      </c>
      <c r="C44" s="7" t="s">
        <v>153</v>
      </c>
      <c r="D44" s="7" t="s">
        <v>154</v>
      </c>
      <c r="E44" s="7" t="s">
        <v>155</v>
      </c>
      <c r="F44" s="8" t="n">
        <v>1</v>
      </c>
      <c r="G44" s="9" t="n">
        <f aca="false">F44*$C$2</f>
        <v>1</v>
      </c>
      <c r="H44" s="7" t="s">
        <v>156</v>
      </c>
      <c r="I44" s="7"/>
    </row>
    <row r="46" customFormat="false" ht="15" hidden="false" customHeight="false" outlineLevel="0" collapsed="false">
      <c r="E46" s="2" t="s">
        <v>157</v>
      </c>
      <c r="G46" s="2" t="n">
        <f aca="false">SUM(G6:G44)</f>
        <v>123</v>
      </c>
    </row>
    <row r="47" customFormat="false" ht="15" hidden="false" customHeight="false" outlineLevel="0" collapsed="false">
      <c r="E47" s="13" t="s">
        <v>158</v>
      </c>
    </row>
  </sheetData>
  <autoFilter ref="A5:I4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32"/>
    <col collapsed="false" customWidth="true" hidden="false" outlineLevel="0" max="5" min="5" style="0" width="26"/>
    <col collapsed="false" customWidth="true" hidden="false" outlineLevel="0" max="6" min="6" style="0" width="48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" t="s">
        <v>159</v>
      </c>
    </row>
    <row r="2" customFormat="false" ht="15" hidden="false" customHeight="false" outlineLevel="0" collapsed="false">
      <c r="A2" s="5" t="s">
        <v>160</v>
      </c>
    </row>
    <row r="4" customFormat="false" ht="26.85" hidden="false" customHeight="false" outlineLevel="0" collapsed="false">
      <c r="A4" s="14" t="s">
        <v>161</v>
      </c>
      <c r="B4" s="14" t="s">
        <v>162</v>
      </c>
      <c r="C4" s="14" t="s">
        <v>163</v>
      </c>
      <c r="D4" s="14" t="s">
        <v>6</v>
      </c>
      <c r="E4" s="14" t="s">
        <v>164</v>
      </c>
      <c r="F4" s="14" t="s">
        <v>165</v>
      </c>
      <c r="G4" s="14" t="s">
        <v>166</v>
      </c>
    </row>
    <row r="5" customFormat="false" ht="15" hidden="false" customHeight="false" outlineLevel="0" collapsed="false">
      <c r="A5" s="15" t="s">
        <v>167</v>
      </c>
      <c r="B5" s="16"/>
      <c r="C5" s="16"/>
      <c r="D5" s="16"/>
      <c r="E5" s="16"/>
      <c r="F5" s="16"/>
      <c r="G5" s="16"/>
    </row>
    <row r="6" customFormat="false" ht="15" hidden="false" customHeight="false" outlineLevel="0" collapsed="false">
      <c r="A6" s="17"/>
      <c r="B6" s="17" t="s">
        <v>33</v>
      </c>
      <c r="C6" s="17" t="s">
        <v>168</v>
      </c>
      <c r="D6" s="17" t="s">
        <v>32</v>
      </c>
      <c r="E6" s="17" t="s">
        <v>168</v>
      </c>
      <c r="F6" s="17"/>
      <c r="G6" s="17"/>
    </row>
    <row r="7" customFormat="false" ht="15" hidden="false" customHeight="false" outlineLevel="0" collapsed="false">
      <c r="A7" s="17"/>
      <c r="B7" s="17" t="s">
        <v>17</v>
      </c>
      <c r="C7" s="17" t="s">
        <v>169</v>
      </c>
      <c r="D7" s="17" t="s">
        <v>14</v>
      </c>
      <c r="E7" s="17" t="s">
        <v>169</v>
      </c>
      <c r="F7" s="17"/>
      <c r="G7" s="17"/>
    </row>
    <row r="8" customFormat="false" ht="15" hidden="false" customHeight="false" outlineLevel="0" collapsed="false">
      <c r="A8" s="17"/>
      <c r="B8" s="17" t="s">
        <v>170</v>
      </c>
      <c r="C8" s="17" t="s">
        <v>171</v>
      </c>
      <c r="D8" s="17" t="s">
        <v>26</v>
      </c>
      <c r="E8" s="17" t="s">
        <v>171</v>
      </c>
      <c r="F8" s="17"/>
      <c r="G8" s="17"/>
    </row>
    <row r="9" customFormat="false" ht="15" hidden="false" customHeight="false" outlineLevel="0" collapsed="false">
      <c r="A9" s="17"/>
      <c r="B9" s="17" t="s">
        <v>172</v>
      </c>
      <c r="C9" s="17" t="s">
        <v>173</v>
      </c>
      <c r="D9" s="17" t="s">
        <v>30</v>
      </c>
      <c r="E9" s="17" t="s">
        <v>173</v>
      </c>
      <c r="F9" s="17"/>
      <c r="G9" s="17"/>
    </row>
    <row r="10" customFormat="false" ht="15" hidden="false" customHeight="false" outlineLevel="0" collapsed="false">
      <c r="A10" s="17"/>
      <c r="B10" s="17" t="s">
        <v>174</v>
      </c>
      <c r="C10" s="17" t="s">
        <v>171</v>
      </c>
      <c r="D10" s="17" t="s">
        <v>26</v>
      </c>
      <c r="E10" s="17" t="s">
        <v>171</v>
      </c>
      <c r="F10" s="17"/>
      <c r="G10" s="17"/>
    </row>
    <row r="11" customFormat="false" ht="15" hidden="false" customHeight="false" outlineLevel="0" collapsed="false">
      <c r="A11" s="17"/>
      <c r="B11" s="17" t="s">
        <v>175</v>
      </c>
      <c r="C11" s="17" t="s">
        <v>173</v>
      </c>
      <c r="D11" s="17" t="s">
        <v>30</v>
      </c>
      <c r="E11" s="17" t="s">
        <v>173</v>
      </c>
      <c r="F11" s="17"/>
      <c r="G11" s="17"/>
    </row>
    <row r="12" customFormat="false" ht="15" hidden="false" customHeight="false" outlineLevel="0" collapsed="false">
      <c r="A12" s="17"/>
      <c r="B12" s="17" t="s">
        <v>176</v>
      </c>
      <c r="C12" s="17" t="s">
        <v>171</v>
      </c>
      <c r="D12" s="17" t="s">
        <v>26</v>
      </c>
      <c r="E12" s="17" t="s">
        <v>171</v>
      </c>
      <c r="F12" s="17"/>
      <c r="G12" s="17"/>
    </row>
    <row r="13" customFormat="false" ht="15" hidden="false" customHeight="false" outlineLevel="0" collapsed="false">
      <c r="A13" s="17"/>
      <c r="B13" s="17" t="s">
        <v>177</v>
      </c>
      <c r="C13" s="17" t="s">
        <v>173</v>
      </c>
      <c r="D13" s="17" t="s">
        <v>30</v>
      </c>
      <c r="E13" s="17" t="s">
        <v>173</v>
      </c>
      <c r="F13" s="17"/>
      <c r="G13" s="17"/>
    </row>
    <row r="14" customFormat="false" ht="15" hidden="false" customHeight="false" outlineLevel="0" collapsed="false">
      <c r="A14" s="17"/>
      <c r="B14" s="17" t="s">
        <v>178</v>
      </c>
      <c r="C14" s="17" t="s">
        <v>171</v>
      </c>
      <c r="D14" s="17" t="s">
        <v>26</v>
      </c>
      <c r="E14" s="17" t="s">
        <v>171</v>
      </c>
      <c r="F14" s="17"/>
      <c r="G14" s="17"/>
    </row>
    <row r="15" customFormat="false" ht="15" hidden="false" customHeight="false" outlineLevel="0" collapsed="false">
      <c r="A15" s="17"/>
      <c r="B15" s="17" t="s">
        <v>179</v>
      </c>
      <c r="C15" s="17" t="s">
        <v>173</v>
      </c>
      <c r="D15" s="17" t="s">
        <v>30</v>
      </c>
      <c r="E15" s="17" t="s">
        <v>173</v>
      </c>
      <c r="F15" s="17"/>
      <c r="G15" s="17"/>
    </row>
    <row r="16" customFormat="false" ht="15" hidden="false" customHeight="false" outlineLevel="0" collapsed="false">
      <c r="A16" s="17"/>
      <c r="B16" s="17" t="s">
        <v>180</v>
      </c>
      <c r="C16" s="17" t="s">
        <v>181</v>
      </c>
      <c r="D16" s="17" t="s">
        <v>18</v>
      </c>
      <c r="E16" s="17" t="s">
        <v>181</v>
      </c>
      <c r="F16" s="17"/>
      <c r="G16" s="17"/>
    </row>
    <row r="17" customFormat="false" ht="15" hidden="false" customHeight="false" outlineLevel="0" collapsed="false">
      <c r="A17" s="17"/>
      <c r="B17" s="17" t="s">
        <v>182</v>
      </c>
      <c r="C17" s="17" t="s">
        <v>181</v>
      </c>
      <c r="D17" s="17" t="s">
        <v>18</v>
      </c>
      <c r="E17" s="17" t="s">
        <v>181</v>
      </c>
      <c r="F17" s="17"/>
      <c r="G17" s="17"/>
    </row>
    <row r="18" customFormat="false" ht="15" hidden="false" customHeight="false" outlineLevel="0" collapsed="false">
      <c r="A18" s="17"/>
      <c r="B18" s="17" t="s">
        <v>183</v>
      </c>
      <c r="C18" s="17" t="s">
        <v>184</v>
      </c>
      <c r="D18" s="17" t="s">
        <v>23</v>
      </c>
      <c r="E18" s="17" t="s">
        <v>184</v>
      </c>
      <c r="F18" s="17"/>
      <c r="G18" s="17"/>
    </row>
    <row r="19" customFormat="false" ht="15" hidden="false" customHeight="false" outlineLevel="0" collapsed="false">
      <c r="A19" s="17"/>
      <c r="B19" s="17" t="s">
        <v>22</v>
      </c>
      <c r="C19" s="17" t="s">
        <v>185</v>
      </c>
      <c r="D19" s="17" t="s">
        <v>21</v>
      </c>
      <c r="E19" s="17" t="s">
        <v>185</v>
      </c>
      <c r="F19" s="17"/>
      <c r="G19" s="17"/>
    </row>
    <row r="20" customFormat="false" ht="15" hidden="false" customHeight="false" outlineLevel="0" collapsed="false">
      <c r="A20" s="17"/>
      <c r="B20" s="17" t="s">
        <v>186</v>
      </c>
      <c r="C20" s="17" t="s">
        <v>173</v>
      </c>
      <c r="D20" s="17" t="s">
        <v>30</v>
      </c>
      <c r="E20" s="17" t="s">
        <v>173</v>
      </c>
      <c r="F20" s="17"/>
      <c r="G20" s="17"/>
    </row>
    <row r="21" customFormat="false" ht="15" hidden="false" customHeight="false" outlineLevel="0" collapsed="false">
      <c r="A21" s="17"/>
      <c r="B21" s="17" t="s">
        <v>29</v>
      </c>
      <c r="C21" s="17" t="s">
        <v>187</v>
      </c>
      <c r="D21" s="17" t="s">
        <v>28</v>
      </c>
      <c r="E21" s="17" t="s">
        <v>187</v>
      </c>
      <c r="F21" s="17"/>
      <c r="G21" s="17"/>
    </row>
    <row r="22" customFormat="false" ht="15" hidden="false" customHeight="false" outlineLevel="0" collapsed="false">
      <c r="A22" s="17"/>
      <c r="B22" s="17" t="s">
        <v>188</v>
      </c>
      <c r="C22" s="17" t="s">
        <v>184</v>
      </c>
      <c r="D22" s="17" t="s">
        <v>23</v>
      </c>
      <c r="E22" s="17" t="s">
        <v>184</v>
      </c>
      <c r="F22" s="17"/>
      <c r="G22" s="17"/>
    </row>
    <row r="23" customFormat="false" ht="15" hidden="false" customHeight="false" outlineLevel="0" collapsed="false">
      <c r="A23" s="17"/>
      <c r="B23" s="17" t="s">
        <v>189</v>
      </c>
      <c r="C23" s="17" t="s">
        <v>171</v>
      </c>
      <c r="D23" s="17" t="s">
        <v>26</v>
      </c>
      <c r="E23" s="17" t="s">
        <v>171</v>
      </c>
      <c r="F23" s="17"/>
      <c r="G23" s="17"/>
    </row>
    <row r="24" customFormat="false" ht="15" hidden="false" customHeight="false" outlineLevel="0" collapsed="false">
      <c r="A24" s="17"/>
      <c r="B24" s="17" t="s">
        <v>190</v>
      </c>
      <c r="C24" s="17" t="s">
        <v>173</v>
      </c>
      <c r="D24" s="17" t="s">
        <v>30</v>
      </c>
      <c r="E24" s="17" t="s">
        <v>173</v>
      </c>
      <c r="F24" s="17"/>
      <c r="G24" s="17"/>
    </row>
    <row r="25" customFormat="false" ht="15" hidden="false" customHeight="false" outlineLevel="0" collapsed="false">
      <c r="A25" s="17"/>
      <c r="B25" s="17" t="s">
        <v>191</v>
      </c>
      <c r="C25" s="17" t="s">
        <v>184</v>
      </c>
      <c r="D25" s="17" t="s">
        <v>23</v>
      </c>
      <c r="E25" s="17" t="s">
        <v>184</v>
      </c>
      <c r="F25" s="17"/>
      <c r="G25" s="17"/>
    </row>
    <row r="26" customFormat="false" ht="15" hidden="false" customHeight="false" outlineLevel="0" collapsed="false">
      <c r="A26" s="17"/>
      <c r="B26" s="17" t="s">
        <v>192</v>
      </c>
      <c r="C26" s="17" t="s">
        <v>171</v>
      </c>
      <c r="D26" s="17" t="s">
        <v>26</v>
      </c>
      <c r="E26" s="17" t="s">
        <v>171</v>
      </c>
      <c r="F26" s="17"/>
      <c r="G26" s="17"/>
    </row>
    <row r="27" customFormat="false" ht="15" hidden="false" customHeight="false" outlineLevel="0" collapsed="false">
      <c r="A27" s="17"/>
      <c r="B27" s="17" t="s">
        <v>193</v>
      </c>
      <c r="C27" s="17" t="s">
        <v>173</v>
      </c>
      <c r="D27" s="17" t="s">
        <v>30</v>
      </c>
      <c r="E27" s="17" t="s">
        <v>173</v>
      </c>
      <c r="F27" s="17"/>
      <c r="G27" s="17"/>
    </row>
    <row r="28" customFormat="false" ht="15" hidden="false" customHeight="false" outlineLevel="0" collapsed="false">
      <c r="A28" s="17"/>
      <c r="B28" s="17" t="s">
        <v>194</v>
      </c>
      <c r="C28" s="17" t="s">
        <v>184</v>
      </c>
      <c r="D28" s="17" t="s">
        <v>23</v>
      </c>
      <c r="E28" s="17" t="s">
        <v>184</v>
      </c>
      <c r="F28" s="17"/>
      <c r="G28" s="17"/>
    </row>
    <row r="29" customFormat="false" ht="15" hidden="false" customHeight="false" outlineLevel="0" collapsed="false">
      <c r="A29" s="17"/>
      <c r="B29" s="17" t="s">
        <v>195</v>
      </c>
      <c r="C29" s="17" t="s">
        <v>171</v>
      </c>
      <c r="D29" s="17" t="s">
        <v>26</v>
      </c>
      <c r="E29" s="17" t="s">
        <v>171</v>
      </c>
      <c r="F29" s="17"/>
      <c r="G29" s="17"/>
    </row>
    <row r="30" customFormat="false" ht="15" hidden="false" customHeight="false" outlineLevel="0" collapsed="false">
      <c r="A30" s="17"/>
      <c r="B30" s="17" t="s">
        <v>196</v>
      </c>
      <c r="C30" s="17" t="s">
        <v>173</v>
      </c>
      <c r="D30" s="17" t="s">
        <v>30</v>
      </c>
      <c r="E30" s="17" t="s">
        <v>173</v>
      </c>
      <c r="F30" s="17"/>
      <c r="G30" s="17"/>
    </row>
    <row r="31" customFormat="false" ht="15" hidden="false" customHeight="false" outlineLevel="0" collapsed="false">
      <c r="A31" s="15" t="s">
        <v>197</v>
      </c>
      <c r="B31" s="16"/>
      <c r="C31" s="16"/>
      <c r="D31" s="16"/>
      <c r="E31" s="16"/>
      <c r="F31" s="16"/>
      <c r="G31" s="16"/>
    </row>
    <row r="32" customFormat="false" ht="15" hidden="false" customHeight="false" outlineLevel="0" collapsed="false">
      <c r="A32" s="17"/>
      <c r="B32" s="17" t="s">
        <v>50</v>
      </c>
      <c r="C32" s="17" t="s">
        <v>198</v>
      </c>
      <c r="D32" s="17" t="s">
        <v>47</v>
      </c>
      <c r="E32" s="17" t="s">
        <v>199</v>
      </c>
      <c r="F32" s="18" t="s">
        <v>200</v>
      </c>
      <c r="G32" s="17"/>
    </row>
    <row r="33" customFormat="false" ht="15" hidden="false" customHeight="false" outlineLevel="0" collapsed="false">
      <c r="A33" s="17"/>
      <c r="B33" s="17" t="s">
        <v>46</v>
      </c>
      <c r="C33" s="17" t="s">
        <v>201</v>
      </c>
      <c r="D33" s="17" t="s">
        <v>43</v>
      </c>
      <c r="E33" s="17" t="s">
        <v>45</v>
      </c>
      <c r="F33" s="18" t="s">
        <v>200</v>
      </c>
      <c r="G33" s="17"/>
    </row>
    <row r="34" customFormat="false" ht="15" hidden="false" customHeight="false" outlineLevel="0" collapsed="false">
      <c r="A34" s="17"/>
      <c r="B34" s="17" t="s">
        <v>202</v>
      </c>
      <c r="C34" s="17" t="s">
        <v>203</v>
      </c>
      <c r="D34" s="17" t="s">
        <v>54</v>
      </c>
      <c r="E34" s="17" t="s">
        <v>204</v>
      </c>
      <c r="F34" s="18" t="s">
        <v>200</v>
      </c>
      <c r="G34" s="17"/>
    </row>
    <row r="35" customFormat="false" ht="15" hidden="false" customHeight="false" outlineLevel="0" collapsed="false">
      <c r="A35" s="17"/>
      <c r="B35" s="17" t="s">
        <v>205</v>
      </c>
      <c r="C35" s="17" t="s">
        <v>203</v>
      </c>
      <c r="D35" s="17" t="s">
        <v>54</v>
      </c>
      <c r="E35" s="17" t="s">
        <v>204</v>
      </c>
      <c r="F35" s="18" t="s">
        <v>200</v>
      </c>
      <c r="G35" s="17"/>
    </row>
    <row r="36" customFormat="false" ht="15" hidden="false" customHeight="false" outlineLevel="0" collapsed="false">
      <c r="A36" s="17"/>
      <c r="B36" s="17" t="s">
        <v>206</v>
      </c>
      <c r="C36" s="17" t="s">
        <v>203</v>
      </c>
      <c r="D36" s="17" t="s">
        <v>54</v>
      </c>
      <c r="E36" s="17" t="s">
        <v>204</v>
      </c>
      <c r="F36" s="18" t="s">
        <v>200</v>
      </c>
      <c r="G36" s="17"/>
    </row>
    <row r="37" customFormat="false" ht="15" hidden="false" customHeight="false" outlineLevel="0" collapsed="false">
      <c r="A37" s="17"/>
      <c r="B37" s="17" t="s">
        <v>207</v>
      </c>
      <c r="C37" s="17" t="s">
        <v>203</v>
      </c>
      <c r="D37" s="17" t="s">
        <v>54</v>
      </c>
      <c r="E37" s="17" t="s">
        <v>204</v>
      </c>
      <c r="F37" s="18" t="s">
        <v>200</v>
      </c>
      <c r="G37" s="17"/>
    </row>
    <row r="38" customFormat="false" ht="15" hidden="false" customHeight="false" outlineLevel="0" collapsed="false">
      <c r="A38" s="17"/>
      <c r="B38" s="17" t="s">
        <v>208</v>
      </c>
      <c r="C38" s="17" t="s">
        <v>203</v>
      </c>
      <c r="D38" s="17" t="s">
        <v>54</v>
      </c>
      <c r="E38" s="17" t="s">
        <v>204</v>
      </c>
      <c r="F38" s="18" t="s">
        <v>200</v>
      </c>
      <c r="G38" s="17"/>
    </row>
    <row r="39" customFormat="false" ht="15" hidden="false" customHeight="false" outlineLevel="0" collapsed="false">
      <c r="A39" s="17"/>
      <c r="B39" s="17" t="s">
        <v>209</v>
      </c>
      <c r="C39" s="17" t="s">
        <v>203</v>
      </c>
      <c r="D39" s="17" t="s">
        <v>54</v>
      </c>
      <c r="E39" s="17" t="s">
        <v>204</v>
      </c>
      <c r="F39" s="18" t="s">
        <v>200</v>
      </c>
      <c r="G39" s="17"/>
    </row>
    <row r="40" customFormat="false" ht="15" hidden="false" customHeight="false" outlineLevel="0" collapsed="false">
      <c r="A40" s="17"/>
      <c r="B40" s="17" t="s">
        <v>42</v>
      </c>
      <c r="C40" s="17" t="s">
        <v>210</v>
      </c>
      <c r="D40" s="17" t="s">
        <v>39</v>
      </c>
      <c r="E40" s="17" t="s">
        <v>41</v>
      </c>
      <c r="F40" s="18" t="s">
        <v>200</v>
      </c>
      <c r="G40" s="17"/>
    </row>
    <row r="41" customFormat="false" ht="15" hidden="false" customHeight="false" outlineLevel="0" collapsed="false">
      <c r="A41" s="17"/>
      <c r="B41" s="17" t="s">
        <v>211</v>
      </c>
      <c r="C41" s="17" t="s">
        <v>212</v>
      </c>
      <c r="D41" s="17" t="s">
        <v>51</v>
      </c>
      <c r="E41" s="17" t="s">
        <v>213</v>
      </c>
      <c r="F41" s="18" t="s">
        <v>200</v>
      </c>
      <c r="G41" s="17"/>
    </row>
    <row r="42" customFormat="false" ht="15" hidden="false" customHeight="false" outlineLevel="0" collapsed="false">
      <c r="A42" s="17"/>
      <c r="B42" s="17" t="s">
        <v>214</v>
      </c>
      <c r="C42" s="17" t="s">
        <v>215</v>
      </c>
      <c r="D42" s="17" t="s">
        <v>35</v>
      </c>
      <c r="E42" s="17" t="s">
        <v>37</v>
      </c>
      <c r="F42" s="18" t="s">
        <v>200</v>
      </c>
      <c r="G42" s="17"/>
    </row>
    <row r="43" customFormat="false" ht="15" hidden="false" customHeight="false" outlineLevel="0" collapsed="false">
      <c r="A43" s="17"/>
      <c r="B43" s="17" t="s">
        <v>216</v>
      </c>
      <c r="C43" s="17" t="s">
        <v>212</v>
      </c>
      <c r="D43" s="17" t="s">
        <v>51</v>
      </c>
      <c r="E43" s="17" t="s">
        <v>213</v>
      </c>
      <c r="F43" s="18" t="s">
        <v>200</v>
      </c>
      <c r="G43" s="17"/>
    </row>
    <row r="44" customFormat="false" ht="15" hidden="false" customHeight="false" outlineLevel="0" collapsed="false">
      <c r="A44" s="17"/>
      <c r="B44" s="17" t="s">
        <v>217</v>
      </c>
      <c r="C44" s="17" t="s">
        <v>215</v>
      </c>
      <c r="D44" s="17" t="s">
        <v>35</v>
      </c>
      <c r="E44" s="17" t="s">
        <v>37</v>
      </c>
      <c r="F44" s="18" t="s">
        <v>200</v>
      </c>
      <c r="G44" s="17"/>
    </row>
    <row r="45" customFormat="false" ht="15" hidden="false" customHeight="false" outlineLevel="0" collapsed="false">
      <c r="A45" s="17"/>
      <c r="B45" s="17" t="s">
        <v>218</v>
      </c>
      <c r="C45" s="17" t="s">
        <v>212</v>
      </c>
      <c r="D45" s="17" t="s">
        <v>51</v>
      </c>
      <c r="E45" s="17" t="s">
        <v>213</v>
      </c>
      <c r="F45" s="18" t="s">
        <v>200</v>
      </c>
      <c r="G45" s="17"/>
    </row>
    <row r="46" customFormat="false" ht="15" hidden="false" customHeight="false" outlineLevel="0" collapsed="false">
      <c r="A46" s="17"/>
      <c r="B46" s="17" t="s">
        <v>219</v>
      </c>
      <c r="C46" s="17" t="s">
        <v>215</v>
      </c>
      <c r="D46" s="17" t="s">
        <v>35</v>
      </c>
      <c r="E46" s="17" t="s">
        <v>37</v>
      </c>
      <c r="F46" s="18" t="s">
        <v>200</v>
      </c>
      <c r="G46" s="17"/>
    </row>
    <row r="47" customFormat="false" ht="15" hidden="false" customHeight="false" outlineLevel="0" collapsed="false">
      <c r="A47" s="15" t="s">
        <v>220</v>
      </c>
      <c r="B47" s="16"/>
      <c r="C47" s="16"/>
      <c r="D47" s="16"/>
      <c r="E47" s="16"/>
      <c r="F47" s="16"/>
      <c r="G47" s="16"/>
    </row>
    <row r="48" customFormat="false" ht="15" hidden="false" customHeight="false" outlineLevel="0" collapsed="false">
      <c r="A48" s="17"/>
      <c r="B48" s="17" t="s">
        <v>221</v>
      </c>
      <c r="C48" s="17" t="s">
        <v>222</v>
      </c>
      <c r="D48" s="17" t="s">
        <v>75</v>
      </c>
      <c r="E48" s="17" t="s">
        <v>223</v>
      </c>
      <c r="F48" s="17"/>
      <c r="G48" s="17"/>
    </row>
    <row r="49" customFormat="false" ht="15" hidden="false" customHeight="false" outlineLevel="0" collapsed="false">
      <c r="A49" s="17"/>
      <c r="B49" s="17" t="s">
        <v>224</v>
      </c>
      <c r="C49" s="17" t="s">
        <v>222</v>
      </c>
      <c r="D49" s="17" t="s">
        <v>75</v>
      </c>
      <c r="E49" s="17" t="s">
        <v>223</v>
      </c>
      <c r="F49" s="17"/>
      <c r="G49" s="17"/>
    </row>
    <row r="50" customFormat="false" ht="15" hidden="false" customHeight="false" outlineLevel="0" collapsed="false">
      <c r="A50" s="17"/>
      <c r="B50" s="17" t="s">
        <v>225</v>
      </c>
      <c r="C50" s="17" t="s">
        <v>222</v>
      </c>
      <c r="D50" s="17" t="s">
        <v>75</v>
      </c>
      <c r="E50" s="17" t="s">
        <v>223</v>
      </c>
      <c r="F50" s="17"/>
      <c r="G50" s="17"/>
    </row>
    <row r="51" customFormat="false" ht="15" hidden="false" customHeight="false" outlineLevel="0" collapsed="false">
      <c r="A51" s="17"/>
      <c r="B51" s="17" t="s">
        <v>226</v>
      </c>
      <c r="C51" s="17" t="s">
        <v>222</v>
      </c>
      <c r="D51" s="17" t="s">
        <v>75</v>
      </c>
      <c r="E51" s="17" t="s">
        <v>223</v>
      </c>
      <c r="F51" s="17"/>
      <c r="G51" s="17"/>
    </row>
    <row r="52" customFormat="false" ht="15" hidden="false" customHeight="false" outlineLevel="0" collapsed="false">
      <c r="A52" s="17"/>
      <c r="B52" s="17" t="s">
        <v>227</v>
      </c>
      <c r="C52" s="17" t="s">
        <v>222</v>
      </c>
      <c r="D52" s="17" t="s">
        <v>75</v>
      </c>
      <c r="E52" s="17" t="s">
        <v>223</v>
      </c>
      <c r="F52" s="17"/>
      <c r="G52" s="17"/>
    </row>
    <row r="53" customFormat="false" ht="15" hidden="false" customHeight="false" outlineLevel="0" collapsed="false">
      <c r="A53" s="17"/>
      <c r="B53" s="17" t="s">
        <v>228</v>
      </c>
      <c r="C53" s="17" t="s">
        <v>222</v>
      </c>
      <c r="D53" s="17" t="s">
        <v>75</v>
      </c>
      <c r="E53" s="17" t="s">
        <v>223</v>
      </c>
      <c r="F53" s="17"/>
      <c r="G53" s="17"/>
    </row>
    <row r="54" customFormat="false" ht="15" hidden="false" customHeight="false" outlineLevel="0" collapsed="false">
      <c r="A54" s="17"/>
      <c r="B54" s="17" t="s">
        <v>229</v>
      </c>
      <c r="C54" s="17" t="s">
        <v>230</v>
      </c>
      <c r="D54" s="17" t="s">
        <v>71</v>
      </c>
      <c r="E54" s="17" t="s">
        <v>231</v>
      </c>
      <c r="F54" s="17"/>
      <c r="G54" s="17"/>
    </row>
    <row r="55" customFormat="false" ht="15" hidden="false" customHeight="false" outlineLevel="0" collapsed="false">
      <c r="A55" s="17"/>
      <c r="B55" s="17" t="s">
        <v>232</v>
      </c>
      <c r="C55" s="17" t="s">
        <v>230</v>
      </c>
      <c r="D55" s="17" t="s">
        <v>71</v>
      </c>
      <c r="E55" s="17" t="s">
        <v>231</v>
      </c>
      <c r="F55" s="17"/>
      <c r="G55" s="17"/>
    </row>
    <row r="56" customFormat="false" ht="15" hidden="false" customHeight="false" outlineLevel="0" collapsed="false">
      <c r="A56" s="15" t="s">
        <v>233</v>
      </c>
      <c r="B56" s="16"/>
      <c r="C56" s="16"/>
      <c r="D56" s="16"/>
      <c r="E56" s="16"/>
      <c r="F56" s="16"/>
      <c r="G56" s="16"/>
    </row>
    <row r="57" customFormat="false" ht="23.85" hidden="false" customHeight="false" outlineLevel="0" collapsed="false">
      <c r="A57" s="17"/>
      <c r="B57" s="17" t="s">
        <v>83</v>
      </c>
      <c r="C57" s="17" t="s">
        <v>234</v>
      </c>
      <c r="D57" s="17" t="s">
        <v>80</v>
      </c>
      <c r="E57" s="17" t="s">
        <v>235</v>
      </c>
      <c r="F57" s="18" t="s">
        <v>236</v>
      </c>
      <c r="G57" s="17"/>
    </row>
    <row r="58" customFormat="false" ht="23.85" hidden="false" customHeight="false" outlineLevel="0" collapsed="false">
      <c r="A58" s="17"/>
      <c r="B58" s="17" t="s">
        <v>103</v>
      </c>
      <c r="C58" s="17" t="s">
        <v>237</v>
      </c>
      <c r="D58" s="17" t="s">
        <v>100</v>
      </c>
      <c r="E58" s="17" t="s">
        <v>237</v>
      </c>
      <c r="F58" s="18" t="s">
        <v>238</v>
      </c>
      <c r="G58" s="17"/>
    </row>
    <row r="59" customFormat="false" ht="15" hidden="false" customHeight="false" outlineLevel="0" collapsed="false">
      <c r="A59" s="17"/>
      <c r="B59" s="17" t="s">
        <v>239</v>
      </c>
      <c r="C59" s="17" t="s">
        <v>240</v>
      </c>
      <c r="D59" s="17" t="s">
        <v>84</v>
      </c>
      <c r="E59" s="17" t="s">
        <v>240</v>
      </c>
      <c r="F59" s="18" t="s">
        <v>241</v>
      </c>
      <c r="G59" s="17"/>
    </row>
    <row r="60" customFormat="false" ht="15" hidden="false" customHeight="false" outlineLevel="0" collapsed="false">
      <c r="A60" s="17"/>
      <c r="B60" s="17" t="s">
        <v>242</v>
      </c>
      <c r="C60" s="17" t="s">
        <v>240</v>
      </c>
      <c r="D60" s="17" t="s">
        <v>84</v>
      </c>
      <c r="E60" s="17" t="s">
        <v>240</v>
      </c>
      <c r="F60" s="18" t="s">
        <v>241</v>
      </c>
      <c r="G60" s="17"/>
    </row>
    <row r="61" customFormat="false" ht="15" hidden="false" customHeight="false" outlineLevel="0" collapsed="false">
      <c r="A61" s="17"/>
      <c r="B61" s="17" t="s">
        <v>243</v>
      </c>
      <c r="C61" s="17" t="s">
        <v>240</v>
      </c>
      <c r="D61" s="17" t="s">
        <v>84</v>
      </c>
      <c r="E61" s="17" t="s">
        <v>240</v>
      </c>
      <c r="F61" s="18" t="s">
        <v>241</v>
      </c>
      <c r="G61" s="17"/>
    </row>
    <row r="62" customFormat="false" ht="15" hidden="false" customHeight="false" outlineLevel="0" collapsed="false">
      <c r="A62" s="17"/>
      <c r="B62" s="17" t="s">
        <v>244</v>
      </c>
      <c r="C62" s="17" t="s">
        <v>240</v>
      </c>
      <c r="D62" s="17" t="s">
        <v>84</v>
      </c>
      <c r="E62" s="17" t="s">
        <v>240</v>
      </c>
      <c r="F62" s="18" t="s">
        <v>241</v>
      </c>
      <c r="G62" s="17"/>
    </row>
    <row r="63" customFormat="false" ht="15" hidden="false" customHeight="false" outlineLevel="0" collapsed="false">
      <c r="A63" s="15" t="s">
        <v>245</v>
      </c>
      <c r="B63" s="16"/>
      <c r="C63" s="16"/>
      <c r="D63" s="16"/>
      <c r="E63" s="16"/>
      <c r="F63" s="16"/>
      <c r="G63" s="16"/>
    </row>
    <row r="64" customFormat="false" ht="15" hidden="false" customHeight="false" outlineLevel="0" collapsed="false">
      <c r="A64" s="17"/>
      <c r="B64" s="17" t="s">
        <v>140</v>
      </c>
      <c r="C64" s="17" t="s">
        <v>140</v>
      </c>
      <c r="D64" s="17" t="s">
        <v>137</v>
      </c>
      <c r="E64" s="17" t="s">
        <v>246</v>
      </c>
      <c r="F64" s="17"/>
      <c r="G64" s="17"/>
    </row>
    <row r="65" customFormat="false" ht="15" hidden="false" customHeight="false" outlineLevel="0" collapsed="false">
      <c r="A65" s="17"/>
      <c r="B65" s="17" t="s">
        <v>136</v>
      </c>
      <c r="C65" s="17" t="s">
        <v>136</v>
      </c>
      <c r="D65" s="17" t="s">
        <v>133</v>
      </c>
      <c r="E65" s="17" t="s">
        <v>247</v>
      </c>
      <c r="F65" s="17"/>
      <c r="G65" s="17"/>
    </row>
    <row r="66" customFormat="false" ht="15" hidden="false" customHeight="false" outlineLevel="0" collapsed="false">
      <c r="A66" s="17"/>
      <c r="B66" s="17" t="s">
        <v>132</v>
      </c>
      <c r="C66" s="17" t="s">
        <v>132</v>
      </c>
      <c r="D66" s="17" t="s">
        <v>130</v>
      </c>
      <c r="E66" s="17" t="s">
        <v>248</v>
      </c>
      <c r="F66" s="17"/>
      <c r="G66" s="17"/>
    </row>
    <row r="67" customFormat="false" ht="15" hidden="false" customHeight="false" outlineLevel="0" collapsed="false">
      <c r="A67" s="15" t="s">
        <v>249</v>
      </c>
      <c r="B67" s="16"/>
      <c r="C67" s="16"/>
      <c r="D67" s="16"/>
      <c r="E67" s="16"/>
      <c r="F67" s="16"/>
      <c r="G67" s="16"/>
    </row>
    <row r="68" customFormat="false" ht="15" hidden="false" customHeight="false" outlineLevel="0" collapsed="false">
      <c r="A68" s="17"/>
      <c r="B68" s="17" t="s">
        <v>70</v>
      </c>
      <c r="C68" s="17" t="s">
        <v>250</v>
      </c>
      <c r="D68" s="17" t="s">
        <v>67</v>
      </c>
      <c r="E68" s="17" t="s">
        <v>251</v>
      </c>
      <c r="F68" s="18" t="s">
        <v>252</v>
      </c>
      <c r="G68" s="17"/>
    </row>
    <row r="69" customFormat="false" ht="15" hidden="false" customHeight="false" outlineLevel="0" collapsed="false">
      <c r="A69" s="17"/>
      <c r="B69" s="17" t="s">
        <v>61</v>
      </c>
      <c r="C69" s="17" t="s">
        <v>253</v>
      </c>
      <c r="D69" s="17" t="s">
        <v>59</v>
      </c>
      <c r="E69" s="17" t="s">
        <v>254</v>
      </c>
      <c r="F69" s="18" t="s">
        <v>252</v>
      </c>
      <c r="G69" s="17"/>
    </row>
    <row r="70" customFormat="false" ht="15" hidden="false" customHeight="false" outlineLevel="0" collapsed="false">
      <c r="A70" s="17"/>
      <c r="B70" s="17" t="s">
        <v>66</v>
      </c>
      <c r="C70" s="17" t="s">
        <v>255</v>
      </c>
      <c r="D70" s="17" t="s">
        <v>65</v>
      </c>
      <c r="E70" s="17" t="s">
        <v>256</v>
      </c>
      <c r="F70" s="18" t="s">
        <v>252</v>
      </c>
      <c r="G70" s="17"/>
    </row>
    <row r="71" customFormat="false" ht="15" hidden="false" customHeight="false" outlineLevel="0" collapsed="false">
      <c r="A71" s="17"/>
      <c r="B71" s="17" t="s">
        <v>64</v>
      </c>
      <c r="C71" s="17" t="s">
        <v>257</v>
      </c>
      <c r="D71" s="17" t="s">
        <v>62</v>
      </c>
      <c r="E71" s="17" t="s">
        <v>258</v>
      </c>
      <c r="F71" s="18" t="s">
        <v>252</v>
      </c>
      <c r="G71" s="17"/>
    </row>
    <row r="72" customFormat="false" ht="15" hidden="false" customHeight="false" outlineLevel="0" collapsed="false">
      <c r="A72" s="15" t="s">
        <v>259</v>
      </c>
      <c r="B72" s="16"/>
      <c r="C72" s="16"/>
      <c r="D72" s="16"/>
      <c r="E72" s="16"/>
      <c r="F72" s="16"/>
      <c r="G72" s="16"/>
    </row>
    <row r="73" customFormat="false" ht="15" hidden="false" customHeight="false" outlineLevel="0" collapsed="false">
      <c r="A73" s="17"/>
      <c r="B73" s="17" t="s">
        <v>112</v>
      </c>
      <c r="C73" s="17" t="s">
        <v>112</v>
      </c>
      <c r="D73" s="17" t="s">
        <v>109</v>
      </c>
      <c r="E73" s="17" t="s">
        <v>260</v>
      </c>
      <c r="F73" s="17"/>
      <c r="G73" s="17"/>
    </row>
    <row r="74" customFormat="false" ht="15" hidden="false" customHeight="false" outlineLevel="0" collapsed="false">
      <c r="A74" s="17"/>
      <c r="B74" s="17" t="s">
        <v>91</v>
      </c>
      <c r="C74" s="17" t="s">
        <v>261</v>
      </c>
      <c r="D74" s="17" t="s">
        <v>88</v>
      </c>
      <c r="E74" s="17" t="s">
        <v>261</v>
      </c>
      <c r="F74" s="18" t="s">
        <v>262</v>
      </c>
      <c r="G74" s="17"/>
    </row>
    <row r="75" customFormat="false" ht="15" hidden="false" customHeight="false" outlineLevel="0" collapsed="false">
      <c r="A75" s="17"/>
      <c r="B75" s="17" t="s">
        <v>263</v>
      </c>
      <c r="C75" s="17" t="s">
        <v>264</v>
      </c>
      <c r="D75" s="17" t="s">
        <v>92</v>
      </c>
      <c r="E75" s="17" t="s">
        <v>265</v>
      </c>
      <c r="F75" s="18" t="s">
        <v>262</v>
      </c>
      <c r="G75" s="17"/>
    </row>
    <row r="76" customFormat="false" ht="15" hidden="false" customHeight="false" outlineLevel="0" collapsed="false">
      <c r="A76" s="17"/>
      <c r="B76" s="17" t="s">
        <v>266</v>
      </c>
      <c r="C76" s="17" t="s">
        <v>264</v>
      </c>
      <c r="D76" s="17" t="s">
        <v>92</v>
      </c>
      <c r="E76" s="17" t="s">
        <v>265</v>
      </c>
      <c r="F76" s="18" t="s">
        <v>262</v>
      </c>
      <c r="G76" s="17"/>
    </row>
    <row r="77" customFormat="false" ht="15" hidden="false" customHeight="false" outlineLevel="0" collapsed="false">
      <c r="A77" s="17"/>
      <c r="B77" s="17" t="s">
        <v>267</v>
      </c>
      <c r="C77" s="17" t="s">
        <v>264</v>
      </c>
      <c r="D77" s="17" t="s">
        <v>92</v>
      </c>
      <c r="E77" s="17" t="s">
        <v>265</v>
      </c>
      <c r="F77" s="18" t="s">
        <v>262</v>
      </c>
      <c r="G77" s="17"/>
    </row>
    <row r="78" customFormat="false" ht="15" hidden="false" customHeight="false" outlineLevel="0" collapsed="false">
      <c r="A78" s="17"/>
      <c r="B78" s="17" t="s">
        <v>99</v>
      </c>
      <c r="C78" s="17" t="s">
        <v>268</v>
      </c>
      <c r="D78" s="17" t="s">
        <v>96</v>
      </c>
      <c r="E78" s="17" t="s">
        <v>269</v>
      </c>
      <c r="F78" s="18" t="s">
        <v>270</v>
      </c>
      <c r="G78" s="17"/>
    </row>
    <row r="79" customFormat="false" ht="15" hidden="false" customHeight="false" outlineLevel="0" collapsed="false">
      <c r="A79" s="15" t="s">
        <v>271</v>
      </c>
      <c r="B79" s="16"/>
      <c r="C79" s="16"/>
      <c r="D79" s="16"/>
      <c r="E79" s="16"/>
      <c r="F79" s="16"/>
      <c r="G79" s="16"/>
    </row>
    <row r="80" customFormat="false" ht="15" hidden="false" customHeight="false" outlineLevel="0" collapsed="false">
      <c r="A80" s="17"/>
      <c r="B80" s="17" t="s">
        <v>144</v>
      </c>
      <c r="C80" s="17" t="s">
        <v>144</v>
      </c>
      <c r="D80" s="17" t="s">
        <v>141</v>
      </c>
      <c r="E80" s="17" t="s">
        <v>272</v>
      </c>
      <c r="F80" s="18" t="s">
        <v>273</v>
      </c>
      <c r="G80" s="17"/>
    </row>
    <row r="81" customFormat="false" ht="15" hidden="false" customHeight="false" outlineLevel="0" collapsed="false">
      <c r="A81" s="17"/>
      <c r="B81" s="17" t="s">
        <v>274</v>
      </c>
      <c r="C81" s="17" t="s">
        <v>274</v>
      </c>
      <c r="D81" s="17" t="s">
        <v>145</v>
      </c>
      <c r="E81" s="17" t="s">
        <v>275</v>
      </c>
      <c r="F81" s="18" t="s">
        <v>273</v>
      </c>
      <c r="G81" s="17"/>
    </row>
    <row r="82" customFormat="false" ht="23.85" hidden="false" customHeight="false" outlineLevel="0" collapsed="false">
      <c r="A82" s="17"/>
      <c r="B82" s="17" t="s">
        <v>276</v>
      </c>
      <c r="C82" s="17" t="s">
        <v>276</v>
      </c>
      <c r="D82" s="17" t="s">
        <v>145</v>
      </c>
      <c r="E82" s="17" t="s">
        <v>277</v>
      </c>
      <c r="F82" s="18" t="s">
        <v>273</v>
      </c>
      <c r="G82" s="17"/>
    </row>
    <row r="83" customFormat="false" ht="15" hidden="false" customHeight="false" outlineLevel="0" collapsed="false">
      <c r="A83" s="17"/>
      <c r="B83" s="17" t="s">
        <v>278</v>
      </c>
      <c r="C83" s="17" t="s">
        <v>278</v>
      </c>
      <c r="D83" s="17" t="s">
        <v>117</v>
      </c>
      <c r="E83" s="17" t="s">
        <v>279</v>
      </c>
      <c r="F83" s="17"/>
      <c r="G83" s="17"/>
    </row>
    <row r="84" customFormat="false" ht="15" hidden="false" customHeight="false" outlineLevel="0" collapsed="false">
      <c r="A84" s="17"/>
      <c r="B84" s="17" t="s">
        <v>280</v>
      </c>
      <c r="C84" s="17" t="s">
        <v>280</v>
      </c>
      <c r="D84" s="17" t="s">
        <v>117</v>
      </c>
      <c r="E84" s="17" t="s">
        <v>279</v>
      </c>
      <c r="F84" s="17"/>
      <c r="G84" s="17"/>
    </row>
    <row r="85" customFormat="false" ht="15" hidden="false" customHeight="false" outlineLevel="0" collapsed="false">
      <c r="A85" s="17"/>
      <c r="B85" s="17" t="s">
        <v>281</v>
      </c>
      <c r="C85" s="17" t="s">
        <v>281</v>
      </c>
      <c r="D85" s="17" t="s">
        <v>117</v>
      </c>
      <c r="E85" s="17" t="s">
        <v>279</v>
      </c>
      <c r="F85" s="17"/>
      <c r="G85" s="17"/>
    </row>
    <row r="86" customFormat="false" ht="15" hidden="false" customHeight="false" outlineLevel="0" collapsed="false">
      <c r="A86" s="15" t="s">
        <v>282</v>
      </c>
      <c r="B86" s="16"/>
      <c r="C86" s="16"/>
      <c r="D86" s="16"/>
      <c r="E86" s="16"/>
      <c r="F86" s="16"/>
      <c r="G86" s="16"/>
    </row>
    <row r="87" customFormat="false" ht="15" hidden="false" customHeight="false" outlineLevel="0" collapsed="false">
      <c r="A87" s="17"/>
      <c r="B87" s="17" t="s">
        <v>152</v>
      </c>
      <c r="C87" s="17" t="s">
        <v>283</v>
      </c>
      <c r="D87" s="17" t="s">
        <v>149</v>
      </c>
      <c r="E87" s="17" t="s">
        <v>284</v>
      </c>
      <c r="F87" s="18" t="s">
        <v>285</v>
      </c>
      <c r="G87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2026-10-06T10:36:20Z</dcterms:created>
  <dc:creator>openpyxl</dc:creator>
  <dc:description/>
  <dc:language>en-US</dc:language>
  <cp:lastModifiedBy/>
  <dcterms:modified xsi:type="dcterms:W3CDTF">2026-10-06T10:36:20Z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